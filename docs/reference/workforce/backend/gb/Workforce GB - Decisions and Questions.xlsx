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ecisions" sheetId="2" state="visible" r:id="rId2"/>
    <sheet name="Questions" sheetId="3" state="visible" r:id="rId3"/>
  </sheets>
  <definedNames>
    <definedName name="_xlnm._FilterDatabase" localSheetId="1" hidden="1">'Decisions'!$A$1:$G$71</definedName>
    <definedName name="_xlnm._FilterDatabase" localSheetId="2" hidden="1">'Questions'!$A$1:$J$39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b val="1"/>
      <sz val="10"/>
    </font>
    <font>
      <name val="Arial"/>
      <sz val="10"/>
    </font>
    <font>
      <name val="Arial"/>
      <b val="1"/>
      <sz val="14"/>
    </font>
    <font>
      <name val="Arial"/>
      <i val="1"/>
      <sz val="9"/>
    </font>
  </fonts>
  <fills count="5">
    <fill>
      <patternFill/>
    </fill>
    <fill>
      <patternFill patternType="gray125"/>
    </fill>
    <fill>
      <patternFill patternType="solid">
        <fgColor rgb="001F3864"/>
      </patternFill>
    </fill>
    <fill>
      <patternFill patternType="solid">
        <fgColor rgb="00FFF2CC"/>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4" fillId="0" borderId="0" pivotButton="0" quotePrefix="0" xfId="0"/>
    <xf numFmtId="0" fontId="5" fillId="0" borderId="0" pivotButton="0" quotePrefix="0" xfId="0"/>
    <xf numFmtId="0" fontId="1" fillId="2" borderId="1" pivotButton="0" quotePrefix="0" xfId="0"/>
    <xf numFmtId="0" fontId="3" fillId="0" borderId="1" pivotButton="0" quotePrefix="0" xfId="0"/>
    <xf numFmtId="0" fontId="2" fillId="0" borderId="0" pivotButton="0" quotePrefix="0" xfId="0"/>
    <xf numFmtId="0" fontId="3" fillId="0" borderId="0" applyAlignment="1" pivotButton="0" quotePrefix="0" xfId="0">
      <alignment vertical="top" wrapText="1"/>
    </xf>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2" customWidth="1" min="1" max="1"/>
    <col width="10" customWidth="1" min="2" max="2"/>
  </cols>
  <sheetData>
    <row r="1">
      <c r="A1" s="1" t="inlineStr">
        <is>
          <t>Qnipay Workforce on GB: decisions and open questions</t>
        </is>
      </c>
    </row>
    <row r="2">
      <c r="A2" s="2" t="inlineStr">
        <is>
          <t>Source: docs/reference/workforce/backend/gb/10-gb-gap-analysis.md §10 (decisions) and §11 (questions), dated 2026-10-26, status draft for review.</t>
        </is>
      </c>
    </row>
    <row r="4">
      <c r="A4" s="3" t="inlineStr">
        <is>
          <t>Decisions</t>
        </is>
      </c>
      <c r="B4" s="3" t="inlineStr">
        <is>
          <t>Count</t>
        </is>
      </c>
    </row>
    <row r="5">
      <c r="A5" s="4" t="inlineStr">
        <is>
          <t>Total</t>
        </is>
      </c>
      <c r="B5" s="4">
        <f>COUNTA(Decisions!A2:A71)</f>
        <v/>
      </c>
    </row>
    <row r="6">
      <c r="A6" s="4" t="inlineStr">
        <is>
          <t>Integrator's call</t>
        </is>
      </c>
      <c r="B6" s="4">
        <f>COUNTIF(Decisions!E2:E71,"integrator")</f>
        <v/>
      </c>
    </row>
    <row r="7">
      <c r="A7" s="4" t="inlineStr">
        <is>
          <t>Reviewer's call</t>
        </is>
      </c>
      <c r="B7" s="4">
        <f>COUNTIF(Decisions!E2:E71,"reviewer")</f>
        <v/>
      </c>
    </row>
    <row r="9">
      <c r="A9" s="3" t="inlineStr">
        <is>
          <t>Questions</t>
        </is>
      </c>
      <c r="B9" s="3" t="inlineStr">
        <is>
          <t>Count</t>
        </is>
      </c>
    </row>
    <row r="10">
      <c r="A10" s="4" t="inlineStr">
        <is>
          <t>Total</t>
        </is>
      </c>
      <c r="B10" s="4">
        <f>COUNTA(Questions!A2:A39)</f>
        <v/>
      </c>
    </row>
    <row r="11">
      <c r="A11" s="4" t="inlineStr">
        <is>
          <t>User and product</t>
        </is>
      </c>
      <c r="B11" s="4">
        <f>COUNTIF(Questions!B2:B39,"User and product")</f>
        <v/>
      </c>
    </row>
    <row r="12">
      <c r="A12" s="4" t="inlineStr">
        <is>
          <t>Payroll owner</t>
        </is>
      </c>
      <c r="B12" s="4">
        <f>COUNTIF(Questions!B2:B39,"Payroll owner")</f>
        <v/>
      </c>
    </row>
    <row r="13">
      <c r="A13" s="4" t="inlineStr">
        <is>
          <t>Microsoft / licensing partner</t>
        </is>
      </c>
      <c r="B13" s="4">
        <f>COUNTIF(Questions!B2:B39,"Microsoft / licensing partner")</f>
        <v/>
      </c>
    </row>
    <row r="14">
      <c r="A14" s="4" t="inlineStr">
        <is>
          <t>Top 6 priority</t>
        </is>
      </c>
      <c r="B14" s="4">
        <f>COUNTIF(Questions!C2:C39,"Top 6")</f>
        <v/>
      </c>
    </row>
    <row r="15">
      <c r="A15" s="4" t="inlineStr">
        <is>
          <t>Status: Open</t>
        </is>
      </c>
      <c r="B15" s="4">
        <f>COUNTIF(Questions!H2:H39,"Open")</f>
        <v/>
      </c>
    </row>
    <row r="16">
      <c r="A16" s="4" t="inlineStr">
        <is>
          <t>Status: Answered</t>
        </is>
      </c>
      <c r="B16" s="4">
        <f>COUNTIF(Questions!H2:H39,"Answered")</f>
        <v/>
      </c>
    </row>
    <row r="17">
      <c r="A17" s="4" t="inlineStr">
        <is>
          <t>Status: Deferred</t>
        </is>
      </c>
      <c r="B17" s="4">
        <f>COUNTIF(Questions!H2:H39,"Deferred")</f>
        <v/>
      </c>
    </row>
    <row r="18">
      <c r="A18" s="4" t="inlineStr">
        <is>
          <t>Status: Withdrawn</t>
        </is>
      </c>
      <c r="B18" s="4">
        <f>COUNTIF(Questions!H2:H39,"Withdrawn")</f>
        <v/>
      </c>
    </row>
    <row r="20">
      <c r="A20" s="5" t="inlineStr">
        <is>
          <t>How to use</t>
        </is>
      </c>
    </row>
    <row r="21" ht="28" customHeight="1">
      <c r="A21" s="6" t="inlineStr">
        <is>
          <t>Questions sheet: the yellow cells (Status, Answer / notes) are for you to fill in. Status is a drop-down: Open, Answered, Deferred, Withdrawn.</t>
        </is>
      </c>
    </row>
    <row r="22" ht="28" customHeight="1">
      <c r="A22" s="6" t="inlineStr">
        <is>
          <t>Rows shaded light orange are the six questions the source doc calls most important (GB-Q1, Q2, Q3, Q22, Q23, Q37).</t>
        </is>
      </c>
    </row>
    <row r="23" ht="28" customHeight="1">
      <c r="A23" s="6" t="inlineStr">
        <is>
          <t>Topic is the bold lead-in from the source row; the rest of the text is unchanged apart from markdown formatting being removed.</t>
        </is>
      </c>
    </row>
    <row r="24" ht="28" customHeight="1">
      <c r="A24" s="6" t="inlineStr">
        <is>
          <t>Source line is the line number in 10-gb-gap-analysis.md, for checking the original wording.</t>
        </is>
      </c>
    </row>
  </sheetData>
  <mergeCells count="4">
    <mergeCell ref="A24:F24"/>
    <mergeCell ref="A21:F21"/>
    <mergeCell ref="A22:F22"/>
    <mergeCell ref="A23:F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80" customWidth="1" min="3" max="3"/>
    <col width="55" customWidth="1" min="4" max="4"/>
    <col width="12" customWidth="1" min="5" max="5"/>
    <col width="14" customWidth="1" min="6" max="6"/>
    <col width="9" customWidth="1" min="7" max="7"/>
  </cols>
  <sheetData>
    <row r="1">
      <c r="A1" s="7" t="inlineStr">
        <is>
          <t>ID</t>
        </is>
      </c>
      <c r="B1" s="7" t="inlineStr">
        <is>
          <t>Topic</t>
        </is>
      </c>
      <c r="C1" s="7" t="inlineStr">
        <is>
          <t>Decision</t>
        </is>
      </c>
      <c r="D1" s="7" t="inlineStr">
        <is>
          <t>Why</t>
        </is>
      </c>
      <c r="E1" s="7" t="inlineStr">
        <is>
          <t>Call</t>
        </is>
      </c>
      <c r="F1" s="7" t="inlineStr">
        <is>
          <t>Area</t>
        </is>
      </c>
      <c r="G1" s="7" t="inlineStr">
        <is>
          <t>Source line</t>
        </is>
      </c>
    </row>
    <row r="2">
      <c r="A2" s="8" t="inlineStr">
        <is>
          <t>GB-D1</t>
        </is>
      </c>
      <c r="B2" s="8" t="inlineStr">
        <is>
          <t>Packaging</t>
        </is>
      </c>
      <c r="C2" s="9" t="inlineStr">
        <is>
          <t>No separate Workforce extension: Workforce objects go inside Qnipay-base, GB-only parts in Qnipay-GB. Target is the GB codebase, not W1.</t>
        </is>
      </c>
      <c r="D2" s="9" t="inlineStr">
        <is>
          <t>Settled by the user. AL0334 then shapes every extension (GB-D7).</t>
        </is>
      </c>
      <c r="E2" s="9" t="inlineStr">
        <is>
          <t>integrator</t>
        </is>
      </c>
      <c r="F2" s="9" t="inlineStr">
        <is>
          <t>all</t>
        </is>
      </c>
      <c r="G2" s="9" t="n">
        <v>363</v>
      </c>
    </row>
    <row r="3">
      <c r="A3" s="8" t="inlineStr">
        <is>
          <t>GB-D2</t>
        </is>
      </c>
      <c r="B3" s="8" t="inlineStr">
        <is>
          <t>API route</t>
        </is>
      </c>
      <c r="C3" s="9" t="inlineStr">
        <is>
          <t>/api/dogma/workforce/v1.0/companies({id})/...: publisher dogma, group workforce, version v1.0. The existing GB pages stay on dogma/payroll.</t>
        </is>
      </c>
      <c r="D3" s="9" t="inlineStr">
        <is>
          <t>All slices agree; the onboarding and posting slices' qnipay is corrected.</t>
        </is>
      </c>
      <c r="E3" s="9" t="inlineStr">
        <is>
          <t>integrator</t>
        </is>
      </c>
      <c r="F3" s="9" t="inlineStr">
        <is>
          <t>all</t>
        </is>
      </c>
      <c r="G3" s="9" t="n">
        <v>364</v>
      </c>
    </row>
    <row r="4">
      <c r="A4" s="8" t="inlineStr">
        <is>
          <t>GB-D3</t>
        </is>
      </c>
      <c r="B4" s="8" t="inlineStr">
        <is>
          <t>Ids on reused coded tables</t>
        </is>
      </c>
      <c r="C4" s="9" t="inlineStr">
        <is>
          <t>(Employee, SIR Work Sites, Dimension Value, Job, Job Task, SIR TIme Sheet Elements): no Public Id; Node derives &lt;prefix&gt;_&lt;code&gt;. SIR_WF Version is added and bumped only when a contract-mapped field changes. The people slice's rule wins; the timesheet slice's Public Id on TS Elements is dropped. New SIR_WF tables keep Public Id (9900) and Version (9901).</t>
        </is>
      </c>
      <c r="D4" s="9" t="inlineStr">
        <is>
          <t>No backfill of existing GB rows; payroll's own edits do not make React stale.</t>
        </is>
      </c>
      <c r="E4" s="9" t="inlineStr">
        <is>
          <t>integrator</t>
        </is>
      </c>
      <c r="F4" s="9" t="inlineStr">
        <is>
          <t>all</t>
        </is>
      </c>
      <c r="G4" s="9" t="n">
        <v>365</v>
      </c>
    </row>
    <row r="5">
      <c r="A5" s="8" t="inlineStr">
        <is>
          <t>GB-D4</t>
        </is>
      </c>
      <c r="B5" s="8" t="inlineStr">
        <is>
          <t>Commands</t>
        </is>
      </c>
      <c r="C5" s="9" t="inlineStr">
        <is>
          <t>Bound actions with parameters on the record's entity page where a record exists (as Pag70702818.SIRGBPayslipAPI.al:108-117; the trial confirms it with service-to-service sign-in). Every other command goes through one generic API page commands (70703150) over the temporary table 70703166 SIR_WF Command, with the inputs and outputs of doc 13 §1.4, dispatching by enum 70703150 SIR_WF Command Type, which implements interface SIR_WF Command Handler, one codeunit per command. Every slice's command entity set becomes a command name, not its own page.</t>
        </is>
      </c>
      <c r="D5" s="9" t="inlineStr">
        <is>
          <t>Page IDs in Base are scarce, and Node already validates every payload with zod.</t>
        </is>
      </c>
      <c r="E5" s="9" t="inlineStr">
        <is>
          <t>integrator</t>
        </is>
      </c>
      <c r="F5" s="9" t="inlineStr">
        <is>
          <t>all</t>
        </is>
      </c>
      <c r="G5" s="9" t="n">
        <v>366</v>
      </c>
    </row>
    <row r="6">
      <c r="A6" s="8" t="inlineStr">
        <is>
          <t>GB-D5</t>
        </is>
      </c>
      <c r="B6" s="8" t="inlineStr">
        <is>
          <t>Idempotency Key</t>
        </is>
      </c>
      <c r="C6" s="9" t="inlineStr">
        <is>
          <t>one table, 70703165, merging the foundation and posting versions (01's fields plus Created At and Correlation Id), used for retries from Node to Business Central.</t>
        </is>
      </c>
      <c r="D6" s="9" t="inlineStr">
        <is>
          <t>The contract sends no Idempotency-Key; Node retries on timeouts, 429 and 503. The posting dispatcher keys on the posting line's SystemId instead (GB-D62).</t>
        </is>
      </c>
      <c r="E6" s="9" t="inlineStr">
        <is>
          <t>integrator</t>
        </is>
      </c>
      <c r="F6" s="9" t="inlineStr">
        <is>
          <t>all</t>
        </is>
      </c>
      <c r="G6" s="9" t="n">
        <v>367</v>
      </c>
    </row>
    <row r="7">
      <c r="A7" s="8" t="inlineStr">
        <is>
          <t>GB-D6</t>
        </is>
      </c>
      <c r="B7" s="8" t="inlineStr">
        <is>
          <t>Session</t>
        </is>
      </c>
      <c r="C7" s="9" t="inlineStr">
        <is>
          <t>the foundation slice's 70703153 SIR_WF Session. Every write carries sessionId in the body or as an action parameter, never in a URL or $filter.</t>
        </is>
      </c>
      <c r="D7" s="9" t="inlineStr">
        <is>
          <t>B13; GB has no session table.</t>
        </is>
      </c>
      <c r="E7" s="9" t="inlineStr">
        <is>
          <t>integrator</t>
        </is>
      </c>
      <c r="F7" s="9" t="inlineStr">
        <is>
          <t>all</t>
        </is>
      </c>
      <c r="G7" s="9" t="n">
        <v>368</v>
      </c>
    </row>
    <row r="8">
      <c r="A8" s="8" t="inlineStr">
        <is>
          <t>GB-D7</t>
        </is>
      </c>
      <c r="B8" s="8" t="inlineStr">
        <is>
          <t>Where fields go</t>
        </is>
      </c>
      <c r="C8" s="9" t="inlineStr">
        <is>
          <t>(AL0334): Base-owned tables get Workforce fields in the table itself; Employee, Employee Relative and Base Calendar Change get them in Base's existing extensions 70702579, 70702583, 70702581; Base gets new table extensions only for standard tables it does not already extend: Document Attachment, Dimension Value, Job, Job Task, Employee Qualification (checked by grep: Base extends nine other tables).</t>
        </is>
      </c>
      <c r="D8" s="9" t="inlineStr">
        <is>
          <t>An app cannot extend its own table or the same target twice.</t>
        </is>
      </c>
      <c r="E8" s="9" t="inlineStr">
        <is>
          <t>integrator</t>
        </is>
      </c>
      <c r="F8" s="9" t="inlineStr">
        <is>
          <t>all</t>
        </is>
      </c>
      <c r="G8" s="9" t="n">
        <v>369</v>
      </c>
    </row>
    <row r="9">
      <c r="A9" s="8" t="inlineStr">
        <is>
          <t>GB-D8</t>
        </is>
      </c>
      <c r="B9" s="8" t="inlineStr">
        <is>
          <t>ID block</t>
        </is>
      </c>
      <c r="C9" s="9" t="inlineStr">
        <is>
          <t>Workforce takes 70703150–70703299 for every object type; 70703115–70703149 stays free for Qnipay. Tables and pages in module order. Fields on new tables from 1 plus 9900/9901; fields added to Base-owned tables, to Base's existing Employee, Employee Relative and Base Calendar Change extensions and to the new extensions from 70703150 upwards in each object, each checked free. 50 page IDs (70703216–70703265) are reserved for BC client pages; nothing spills.</t>
        </is>
      </c>
      <c r="D9" s="9" t="inlineStr">
        <is>
          <t>All 252 IDs checked against the free list (§2.2).</t>
        </is>
      </c>
      <c r="E9" s="9" t="inlineStr">
        <is>
          <t>integrator</t>
        </is>
      </c>
      <c r="F9" s="9" t="inlineStr">
        <is>
          <t>all</t>
        </is>
      </c>
      <c r="G9" s="9" t="n">
        <v>370</v>
      </c>
    </row>
    <row r="10">
      <c r="A10" s="8" t="inlineStr">
        <is>
          <t>GB-D9</t>
        </is>
      </c>
      <c r="B10" s="8" t="inlineStr">
        <is>
          <t>Placeholder offsets</t>
        </is>
      </c>
      <c r="C10" s="9" t="inlineStr">
        <is>
          <t>are replaced through the object register (doc 11 §1): each slice's WF+n mapped with that slice's own numbering, so every reference names a real ID. Offsets 1–56 are 01's shared numbering and the same object in every slice.</t>
        </is>
      </c>
      <c r="D10" s="9" t="inlineStr">
        <is>
          <t>The slices' numbers clash (onboarding and timesheet both used WF+57–68; WF+56 twice; people's enums and fields in the 600s).</t>
        </is>
      </c>
      <c r="E10" s="9" t="inlineStr">
        <is>
          <t>integrator</t>
        </is>
      </c>
      <c r="F10" s="9" t="inlineStr">
        <is>
          <t>all</t>
        </is>
      </c>
      <c r="G10" s="9" t="n">
        <v>371</v>
      </c>
    </row>
    <row r="11">
      <c r="A11" s="8" t="inlineStr">
        <is>
          <t>GB-D10</t>
        </is>
      </c>
      <c r="B11" s="8" t="inlineStr">
        <is>
          <t>Contract gaps</t>
        </is>
      </c>
      <c r="C11" s="9" t="inlineStr">
        <is>
          <t>go in §9.</t>
        </is>
      </c>
      <c r="D11" s="9" t="inlineStr">
        <is>
          <t>One list for the React and Node work.</t>
        </is>
      </c>
      <c r="E11" s="9" t="inlineStr">
        <is>
          <t>integrator</t>
        </is>
      </c>
      <c r="F11" s="9" t="inlineStr">
        <is>
          <t>all</t>
        </is>
      </c>
      <c r="G11" s="9" t="n">
        <v>372</v>
      </c>
    </row>
    <row r="12">
      <c r="A12" s="8" t="inlineStr">
        <is>
          <t>GB-D11</t>
        </is>
      </c>
      <c r="B12" s="8" t="inlineStr">
        <is>
          <t>Standard fields on new tables</t>
        </is>
      </c>
      <c r="C12" s="9" t="inlineStr">
        <is>
          <t>9900 and 9901 on every stored SIR_WF table the API writes and the contract addresses by id (01 §4.2). Without 9900: tables whose key is a lower-case contract id (user type, capability, capability group, notification event, onboarding doc type), and tables whose contract id is longer than Text[50] (account, template, onboarding policy, onboarding template), which keep 9901. Without either: temporary tables, the session and idempotency tables, child rows versioned through their parent, and append-only logs addressed by Entry No. The people slice's new master tables (job profile, employee type, profile change) carry 9900, filled with the id Node would derive.</t>
        </is>
      </c>
      <c r="D12" s="9" t="inlineStr">
        <is>
          <t>Applies GB-D3's "new tables keep Public Id" without forcing ids that do not fit. Doc 11 states it per table.</t>
        </is>
      </c>
      <c r="E12" s="9" t="inlineStr">
        <is>
          <t>integrator</t>
        </is>
      </c>
      <c r="F12" s="9" t="inlineStr">
        <is>
          <t>all</t>
        </is>
      </c>
      <c r="G12" s="9" t="n">
        <v>373</v>
      </c>
    </row>
    <row r="13">
      <c r="A13" s="8" t="inlineStr">
        <is>
          <t>GB-D12</t>
        </is>
      </c>
      <c r="B13" s="8" t="inlineStr">
        <is>
          <t>Bound actions run through the same dispatcher and enum</t>
        </is>
      </c>
      <c r="C13" s="9" t="inlineStr">
        <is>
          <t>as the commands page, with one five-parameter signature (sessionId, correlationId, idempotencyKey, version, payload) and one JSON result.</t>
        </is>
      </c>
      <c r="D13" s="9" t="inlineStr">
        <is>
          <t>One envelope for gates, refusals, audit and idempotency; uniform for Node.</t>
        </is>
      </c>
      <c r="E13" s="9" t="inlineStr">
        <is>
          <t>integrator</t>
        </is>
      </c>
      <c r="F13" s="9" t="inlineStr">
        <is>
          <t>all</t>
        </is>
      </c>
      <c r="G13" s="9" t="n">
        <v>374</v>
      </c>
    </row>
    <row r="14">
      <c r="A14" s="8" t="inlineStr">
        <is>
          <t>GB-D13</t>
        </is>
      </c>
      <c r="B14" s="8" t="inlineStr">
        <is>
          <t>No entity DELETE</t>
        </is>
      </c>
      <c r="C14" s="9" t="inlineStr">
        <is>
          <t>Removal is the bound action remove (command type recordRemove, one handler) on 11 pages.</t>
        </is>
      </c>
      <c r="D14" s="9" t="inlineStr">
        <is>
          <t>A DELETE has no body, and 03 §1.4's PATCH-then-DELETE changeset does not carry a page variable from one request to the next.</t>
        </is>
      </c>
      <c r="E14" s="9" t="inlineStr">
        <is>
          <t>integrator</t>
        </is>
      </c>
      <c r="F14" s="9" t="inlineStr">
        <is>
          <t>all</t>
        </is>
      </c>
      <c r="G14" s="9" t="n">
        <v>375</v>
      </c>
    </row>
    <row r="15">
      <c r="A15" s="8" t="inlineStr">
        <is>
          <t>GB-D14</t>
        </is>
      </c>
      <c r="B15" s="8" t="inlineStr">
        <is>
          <t>Single-record command sets became bound actions</t>
        </is>
      </c>
      <c r="C15" s="9" t="inlineStr">
        <is>
          <t>: timesheet day transition, timesheet config save, clock close, onboarding config, doc type, policy, case, document and template operations, one notification read, posting retry. Session commands stay on commands. Clock moves and day saves stay commands, because the record may not exist yet.</t>
        </is>
      </c>
      <c r="D15" s="9" t="inlineStr">
        <is>
          <t>Ruling GB-D4 applied to what the slices modelled on 03; binding to a session would put its id in a URL.</t>
        </is>
      </c>
      <c r="E15" s="9" t="inlineStr">
        <is>
          <t>integrator</t>
        </is>
      </c>
      <c r="F15" s="9" t="inlineStr">
        <is>
          <t>all</t>
        </is>
      </c>
      <c r="G15" s="9" t="n">
        <v>376</v>
      </c>
    </row>
    <row r="16">
      <c r="A16" s="8" t="inlineStr">
        <is>
          <t>GB-D15</t>
        </is>
      </c>
      <c r="B16" s="8" t="inlineStr">
        <is>
          <t>Workforce calls no dogma/payroll page</t>
        </is>
      </c>
      <c r="C16" s="9" t="inlineStr">
        <is>
          <t>The financial year and pay frequency are read-only fields on 70703151 workforceSetup; bank holidays come from 70703155 and sites from 70703172.</t>
        </is>
      </c>
      <c r="D16" s="9" t="inlineStr">
        <is>
          <t>The foundation and timesheet slices read GB pages, the people slice ruled them out; Base cannot depend on GB, and the GB pages expose money and lack Workforce's fields and checks.</t>
        </is>
      </c>
      <c r="E16" s="9" t="inlineStr">
        <is>
          <t>integrator</t>
        </is>
      </c>
      <c r="F16" s="9" t="inlineStr">
        <is>
          <t>all</t>
        </is>
      </c>
      <c r="G16" s="9" t="n">
        <v>377</v>
      </c>
    </row>
    <row r="17">
      <c r="A17" s="8" t="inlineStr">
        <is>
          <t>GB-D16</t>
        </is>
      </c>
      <c r="B17" s="8" t="inlineStr">
        <is>
          <t>One pay period page</t>
        </is>
      </c>
      <c r="C17" s="9" t="inlineStr">
        <is>
          <t>, 70703199 payPeriods, for the timesheet lock and for posting, filled through 70703192 SIR_WF Pay Period Lock with indirect permission on SIR Payroll Ledger Entry.</t>
        </is>
      </c>
      <c r="D17" s="9" t="inlineStr">
        <is>
          <t>Merges the timesheet slice's payPeriodLocks and the posting slice's WF+107 payPeriods; same data, same permission problem (O).</t>
        </is>
      </c>
      <c r="E17" s="9" t="inlineStr">
        <is>
          <t>integrator</t>
        </is>
      </c>
      <c r="F17" s="9" t="inlineStr">
        <is>
          <t>all</t>
        </is>
      </c>
      <c r="G17" s="9" t="n">
        <v>378</v>
      </c>
    </row>
    <row r="18">
      <c r="A18" s="8" t="inlineStr">
        <is>
          <t>GB-D17</t>
        </is>
      </c>
      <c r="B18" s="8" t="inlineStr">
        <is>
          <t>The Timesheet Day keeps Posting State (23) and Last Posting Line No. (24)</t>
        </is>
      </c>
      <c r="C18" s="9" t="inlineStr">
        <is>
          <t>The Timesheet Day keeps Posting State (23) and Last Posting Line No. (24).</t>
        </is>
      </c>
      <c r="D18" s="9" t="inlineStr">
        <is>
          <t>The timesheet slice dropped them because the contract lost them; the posting slice writes and reads them, and C1 restores them.</t>
        </is>
      </c>
      <c r="E18" s="9" t="inlineStr">
        <is>
          <t>integrator</t>
        </is>
      </c>
      <c r="F18" s="9" t="inlineStr">
        <is>
          <t>all</t>
        </is>
      </c>
      <c r="G18" s="9" t="n">
        <v>379</v>
      </c>
    </row>
    <row r="19">
      <c r="A19" s="8" t="inlineStr">
        <is>
          <t>GB-D18</t>
        </is>
      </c>
      <c r="B19" s="8" t="inlineStr">
        <is>
          <t>One pay code page</t>
        </is>
      </c>
      <c r="C19" s="9" t="inlineStr">
        <is>
          <t>, 70703181, with the people slice's field set and fields 70703150–70703153 on SIR TIme Sheet Elements, no Public Id; label is Description; create sets External Field Mapping = Code.</t>
        </is>
      </c>
      <c r="D19" s="9" t="inlineStr">
        <is>
          <t>Both slices mapped pay codes with agreed names (timesheet D8); only the field numbers and Public Id differed.</t>
        </is>
      </c>
      <c r="E19" s="9" t="inlineStr">
        <is>
          <t>integrator</t>
        </is>
      </c>
      <c r="F19" s="9" t="inlineStr">
        <is>
          <t>all</t>
        </is>
      </c>
      <c r="G19" s="9" t="n">
        <v>380</v>
      </c>
    </row>
    <row r="20">
      <c r="A20" s="8" t="inlineStr">
        <is>
          <t>GB-D19</t>
        </is>
      </c>
      <c r="B20" s="8" t="inlineStr">
        <is>
          <t>Interface table fields</t>
        </is>
      </c>
      <c r="C20" s="9" t="inlineStr">
        <is>
          <t>SIR_WF Posting Line Id is 70703150 on both 70702614 and 70702661 (same number, so TransferFields carries it). Payroll's own fields for problem G keep W1's numbers 20–22.</t>
        </is>
      </c>
      <c r="D20" s="9" t="inlineStr">
        <is>
          <t>The posting slice used 100; the ID ruling puts Workforce fields from 70703150. G's fields are payroll's, ported from W1, and matching numbers keep the two codebases alike.</t>
        </is>
      </c>
      <c r="E20" s="9" t="inlineStr">
        <is>
          <t>integrator</t>
        </is>
      </c>
      <c r="F20" s="9" t="inlineStr">
        <is>
          <t>all</t>
        </is>
      </c>
      <c r="G20" s="9" t="n">
        <v>381</v>
      </c>
    </row>
    <row r="21">
      <c r="A21" s="8" t="inlineStr">
        <is>
          <t>GB-D20</t>
        </is>
      </c>
      <c r="B21" s="8" t="inlineStr">
        <is>
          <t>SIR Notification Type value Workforce is 70703150</t>
        </is>
      </c>
      <c r="C21" s="9" t="inlineStr">
        <is>
          <t>, by the same rule as fields.</t>
        </is>
      </c>
      <c r="D21" s="9" t="inlineStr">
        <is>
          <t>Keeps it movable to a separate app later.</t>
        </is>
      </c>
      <c r="E21" s="9" t="inlineStr">
        <is>
          <t>integrator</t>
        </is>
      </c>
      <c r="F21" s="9" t="inlineStr">
        <is>
          <t>all</t>
        </is>
      </c>
      <c r="G21" s="9" t="n">
        <v>382</v>
      </c>
    </row>
    <row r="22">
      <c r="A22" s="8" t="inlineStr">
        <is>
          <t>GB-D21</t>
        </is>
      </c>
      <c r="B22" s="8" t="inlineStr">
        <is>
          <t>Country hooks split</t>
        </is>
      </c>
      <c r="C22" s="9" t="inlineStr">
        <is>
          <t>People's interface SIR_WF Employee Localization keeps address split and join and the code and name rules; onboarding's three Base events carry the NINO and the starter data. ApplyTaxNumber leaves the interface.</t>
        </is>
      </c>
      <c r="D22" s="9" t="inlineStr">
        <is>
          <t>The people slice put NINO on its interface, the onboarding slice on events with an IsHandled default; the start needs GB-only checklist logic, which events suit. Adding methods to the existing SIR Localization Handler would break every implementer, and neither slice does.</t>
        </is>
      </c>
      <c r="E22" s="9" t="inlineStr">
        <is>
          <t>integrator</t>
        </is>
      </c>
      <c r="F22" s="9" t="inlineStr">
        <is>
          <t>all</t>
        </is>
      </c>
      <c r="G22" s="9" t="n">
        <v>383</v>
      </c>
    </row>
    <row r="23">
      <c r="A23" s="8" t="inlineStr">
        <is>
          <t>GB-D22</t>
        </is>
      </c>
      <c r="B23" s="8" t="inlineStr">
        <is>
          <t>GB objects</t>
        </is>
      </c>
      <c r="C23" s="9" t="inlineStr">
        <is>
          <t>take the top of Qnipay-GB's free range: codeunits 70703097–70703099, enum extension 70703099, to be confirmed by the GB team. The GB onboarding subscriber uses InherentPermissions for the GB tables it writes, instead of a GB permission set extension.</t>
        </is>
      </c>
      <c r="D23" s="9" t="inlineStr">
        <is>
          <t>A Base permission set cannot name GB tables, and the free list has no permission-set-extension type to check against.</t>
        </is>
      </c>
      <c r="E23" s="9" t="inlineStr">
        <is>
          <t>integrator</t>
        </is>
      </c>
      <c r="F23" s="9" t="inlineStr">
        <is>
          <t>all</t>
        </is>
      </c>
      <c r="G23" s="9" t="n">
        <v>384</v>
      </c>
    </row>
    <row r="24">
      <c r="A24" s="8" t="inlineStr">
        <is>
          <t>GB-D23</t>
        </is>
      </c>
      <c r="B24" s="8" t="inlineStr">
        <is>
          <t>Trial subset</t>
        </is>
      </c>
      <c r="C24" s="9" t="inlineStr">
        <is>
          <t>tables 70703179–70703182 and 70703166, the commands page with timesheetDaySaves, the week read, and one bound action (timesheetDays(id)/transition) to prove parameters under service-to-service sign-in; session stubbed, no audit or idempotency.</t>
        </is>
      </c>
      <c r="D24" s="9" t="inlineStr">
        <is>
          <t>The user set the trial's scope; the bound action is what GB-D4 says the trial confirms.</t>
        </is>
      </c>
      <c r="E24" s="9" t="inlineStr">
        <is>
          <t>integrator</t>
        </is>
      </c>
      <c r="F24" s="9" t="inlineStr">
        <is>
          <t>all</t>
        </is>
      </c>
      <c r="G24" s="9" t="n">
        <v>385</v>
      </c>
    </row>
    <row r="25">
      <c r="A25" s="8" t="inlineStr">
        <is>
          <t>GB-D24</t>
        </is>
      </c>
      <c r="B25" s="8" t="inlineStr">
        <is>
          <t>User type lives on Employee</t>
        </is>
      </c>
      <c r="C25" s="9" t="inlineStr">
        <is>
          <t>(SIR_WF User Type Code, B14); 70703152 SIR_WF Account keeps identity only.</t>
        </is>
      </c>
      <c r="D25" s="9" t="inlineStr">
        <is>
          <t>Shared by the foundation and people slices.</t>
        </is>
      </c>
      <c r="E25" s="9" t="inlineStr">
        <is>
          <t>reviewer</t>
        </is>
      </c>
      <c r="F25" s="9" t="inlineStr">
        <is>
          <t>foundation</t>
        </is>
      </c>
      <c r="G25" s="9" t="n">
        <v>386</v>
      </c>
    </row>
    <row r="26">
      <c r="A26" s="8" t="inlineStr">
        <is>
          <t>GB-D25</t>
        </is>
      </c>
      <c r="B26" s="8" t="inlineStr">
        <is>
          <t>Lower-case contract ids are Text keys</t>
        </is>
      </c>
      <c r="C26" s="9" t="inlineStr">
        <is>
          <t>(user types, capabilities, groups, template keys, notification event codes, onboarding doc types, policies, templates); flag and module codes stay Code.</t>
        </is>
      </c>
      <c r="D26" s="9" t="inlineStr">
        <is>
          <t>Code fields upper-case their values.</t>
        </is>
      </c>
      <c r="E26" s="9" t="inlineStr">
        <is>
          <t>reviewer</t>
        </is>
      </c>
      <c r="F26" s="9" t="inlineStr">
        <is>
          <t>foundation, onboarding</t>
        </is>
      </c>
      <c r="G26" s="9" t="n">
        <v>387</v>
      </c>
    </row>
    <row r="27">
      <c r="A27" s="8" t="inlineStr">
        <is>
          <t>GB-D26</t>
        </is>
      </c>
      <c r="B27" s="8" t="inlineStr">
        <is>
          <t>Payroll-owned values are read only from Workforce</t>
        </is>
      </c>
      <c r="C27" s="9" t="inlineStr">
        <is>
          <t>: the financial year (SIR Fiscal Year, Active) and pay frequency (SIR Payroll Setup."Default Pay Frequency"). A settings write that changes them refuses invalid with the field; template apply lists them under "leftAlone".</t>
        </is>
      </c>
      <c r="D27" s="9" t="inlineStr">
        <is>
          <t>Payroll owns them (GB-Q29).</t>
        </is>
      </c>
      <c r="E27" s="9" t="inlineStr">
        <is>
          <t>reviewer</t>
        </is>
      </c>
      <c r="F27" s="9" t="inlineStr">
        <is>
          <t>foundation</t>
        </is>
      </c>
      <c r="G27" s="9" t="n">
        <v>388</v>
      </c>
    </row>
    <row r="28">
      <c r="A28" s="8" t="inlineStr">
        <is>
          <t>GB-D27</t>
        </is>
      </c>
      <c r="B28" s="8" t="inlineStr">
        <is>
          <t>Bank holidays and organisation details are one truth with payroll</t>
        </is>
      </c>
      <c r="C28" s="9" t="inlineStr">
        <is>
          <t>: Workforce writes Base Calendar Change (timesheet calendar) and Company Information.</t>
        </is>
      </c>
      <c r="D28" s="9" t="inlineStr">
        <is>
          <t>Subject to GB-Q7 and GB-Q8.</t>
        </is>
      </c>
      <c r="E28" s="9" t="inlineStr">
        <is>
          <t>reviewer</t>
        </is>
      </c>
      <c r="F28" s="9" t="inlineStr">
        <is>
          <t>foundation</t>
        </is>
      </c>
      <c r="G28" s="9" t="n">
        <v>389</v>
      </c>
    </row>
    <row r="29">
      <c r="A29" s="8" t="inlineStr">
        <is>
          <t>GB-D28</t>
        </is>
      </c>
      <c r="B29" s="8" t="inlineStr">
        <is>
          <t>The tenant version</t>
        </is>
      </c>
      <c r="C29" s="9" t="inlineStr">
        <is>
          <t>is SIR_WF Setup.Version, bumped by any change to the setup, flags, Workforce register rows, Company Information, the timesheet calendar's rows and the active fiscal year, through subscribers.</t>
        </is>
      </c>
      <c r="D29" s="9" t="inlineStr">
        <is>
          <t>A change in the BC client also makes React's If-Match stale.</t>
        </is>
      </c>
      <c r="E29" s="9" t="inlineStr">
        <is>
          <t>reviewer</t>
        </is>
      </c>
      <c r="F29" s="9" t="inlineStr">
        <is>
          <t>foundation</t>
        </is>
      </c>
      <c r="G29" s="9" t="n">
        <v>390</v>
      </c>
    </row>
    <row r="30">
      <c r="A30" s="8" t="inlineStr">
        <is>
          <t>GB-D29</t>
        </is>
      </c>
      <c r="B30" s="8" t="inlineStr">
        <is>
          <t>Modules are SIR Feature Register rows</t>
        </is>
      </c>
      <c r="C30" s="9" t="inlineStr">
        <is>
          <t>(B8 kept); a switch validates Enabled for through the table's OnValidate, so BC page and API share one rule set; Workforce rows are never Non-Reversible.</t>
        </is>
      </c>
      <c r="D30" s="9" t="inlineStr">
        <is>
          <t>The Confirm for non-reversible features fails in an API session.</t>
        </is>
      </c>
      <c r="E30" s="9" t="inlineStr">
        <is>
          <t>reviewer</t>
        </is>
      </c>
      <c r="F30" s="9" t="inlineStr">
        <is>
          <t>foundation</t>
        </is>
      </c>
      <c r="G30" s="9" t="n">
        <v>391</v>
      </c>
    </row>
    <row r="31">
      <c r="A31" s="8" t="inlineStr">
        <is>
          <t>GB-D30</t>
        </is>
      </c>
      <c r="B31" s="8" t="inlineStr">
        <is>
          <t>Notification body</t>
        </is>
      </c>
      <c r="C31" s="9" t="inlineStr">
        <is>
          <t>is Text[2048] in the table; Message keeps the first 250 characters for the payroll bell; rows are typed Workforce with blank Document No.</t>
        </is>
      </c>
      <c r="D31" s="9" t="inlineStr">
        <is>
          <t>Filterable, no Blob handling; the payslip email never picks them up.</t>
        </is>
      </c>
      <c r="E31" s="9" t="inlineStr">
        <is>
          <t>reviewer</t>
        </is>
      </c>
      <c r="F31" s="9" t="inlineStr">
        <is>
          <t>foundation</t>
        </is>
      </c>
      <c r="G31" s="9" t="n">
        <v>392</v>
      </c>
    </row>
    <row r="32">
      <c r="A32" s="8" t="inlineStr">
        <is>
          <t>GB-D31</t>
        </is>
      </c>
      <c r="B32" s="8" t="inlineStr">
        <is>
          <t>Bank Holiday Region</t>
        </is>
      </c>
      <c r="C32" s="9" t="inlineStr">
        <is>
          <t>is an extensible Base enum with None; GB adds the UK regions. The financial-year label comes from a Base event that GB answers with the HMRC notation.</t>
        </is>
      </c>
      <c r="D32" s="9" t="inlineStr">
        <is>
          <t>Country values belong in the country app.</t>
        </is>
      </c>
      <c r="E32" s="9" t="inlineStr">
        <is>
          <t>reviewer</t>
        </is>
      </c>
      <c r="F32" s="9" t="inlineStr">
        <is>
          <t>foundation</t>
        </is>
      </c>
      <c r="G32" s="9" t="n">
        <v>393</v>
      </c>
    </row>
    <row r="33">
      <c r="A33" s="8" t="inlineStr">
        <is>
          <t>GB-D32</t>
        </is>
      </c>
      <c r="B33" s="8" t="inlineStr">
        <is>
          <t>Dropped</t>
        </is>
      </c>
      <c r="C33" s="9" t="inlineStr">
        <is>
          <t>SIR_WF Module (B8), Notification Evidence, the notice tables, the payslips set, notification link fields, Rota Horizon.</t>
        </is>
      </c>
      <c r="D33" s="9" t="inlineStr">
        <is>
          <t>Not in the contract or deferred.</t>
        </is>
      </c>
      <c r="E33" s="9" t="inlineStr">
        <is>
          <t>reviewer</t>
        </is>
      </c>
      <c r="F33" s="9" t="inlineStr">
        <is>
          <t>foundation</t>
        </is>
      </c>
      <c r="G33" s="9" t="n">
        <v>394</v>
      </c>
    </row>
    <row r="34">
      <c r="A34" s="8" t="inlineStr">
        <is>
          <t>GB-D33</t>
        </is>
      </c>
      <c r="B34" s="8" t="inlineStr">
        <is>
          <t>A location's department and cost centre are Default Dimension rows</t>
        </is>
      </c>
      <c r="C34" s="9" t="inlineStr">
        <is>
          <t>, read and written by the page.</t>
        </is>
      </c>
      <c r="D34" s="9" t="inlineStr">
        <is>
          <t>No copies to drift from what payroll posts with.</t>
        </is>
      </c>
      <c r="E34" s="9" t="inlineStr">
        <is>
          <t>reviewer</t>
        </is>
      </c>
      <c r="F34" s="9" t="inlineStr">
        <is>
          <t>people</t>
        </is>
      </c>
      <c r="G34" s="9" t="n">
        <v>395</v>
      </c>
    </row>
    <row r="35">
      <c r="A35" s="8" t="inlineStr">
        <is>
          <t>GB-D34</t>
        </is>
      </c>
      <c r="B35" s="8" t="inlineStr">
        <is>
          <t>Location active = not Blocked</t>
        </is>
      </c>
      <c r="C35" s="9" t="inlineStr">
        <is>
          <t>; Active, Support Level and Min Per Shift dropped.</t>
        </is>
      </c>
      <c r="D35" s="9" t="inlineStr">
        <is>
          <t>GB already has Blocked; the others are not in the Location contract.</t>
        </is>
      </c>
      <c r="E35" s="9" t="inlineStr">
        <is>
          <t>reviewer</t>
        </is>
      </c>
      <c r="F35" s="9" t="inlineStr">
        <is>
          <t>people</t>
        </is>
      </c>
      <c r="G35" s="9" t="n">
        <v>396</v>
      </c>
    </row>
    <row r="36">
      <c r="A36" s="8" t="inlineStr">
        <is>
          <t>GB-D35</t>
        </is>
      </c>
      <c r="B36" s="8" t="inlineStr">
        <is>
          <t>Location create also creates the work-site Dimension Value</t>
        </is>
      </c>
      <c r="C36" s="9" t="inlineStr">
        <is>
          <t>and Default Dimension when Work Site Dimension (or Payroll Dimension 1 Code) is set.</t>
        </is>
      </c>
      <c r="D36" s="9" t="inlineStr">
        <is>
          <t>Mirrors the interface, so posting never auto-creates.</t>
        </is>
      </c>
      <c r="E36" s="9" t="inlineStr">
        <is>
          <t>reviewer</t>
        </is>
      </c>
      <c r="F36" s="9" t="inlineStr">
        <is>
          <t>people</t>
        </is>
      </c>
      <c r="G36" s="9" t="n">
        <v>397</v>
      </c>
    </row>
    <row r="37">
      <c r="A37" s="8" t="inlineStr">
        <is>
          <t>GB-D36</t>
        </is>
      </c>
      <c r="B37" s="8" t="inlineStr">
        <is>
          <t>The employee's location is a FlowField</t>
        </is>
      </c>
      <c r="C37" s="9" t="inlineStr">
        <is>
          <t>(SIR_WF Location Code) over the default SIR Employee Sites row.</t>
        </is>
      </c>
      <c r="D37" s="9" t="inlineStr">
        <is>
          <t>Node can $filter by location for team scope.</t>
        </is>
      </c>
      <c r="E37" s="9" t="inlineStr">
        <is>
          <t>reviewer</t>
        </is>
      </c>
      <c r="F37" s="9" t="inlineStr">
        <is>
          <t>people</t>
        </is>
      </c>
      <c r="G37" s="9" t="n">
        <v>398</v>
      </c>
    </row>
    <row r="38">
      <c r="A38" s="8" t="inlineStr">
        <is>
          <t>GB-D37</t>
        </is>
      </c>
      <c r="B38" s="8" t="inlineStr">
        <is>
          <t>Emergency contact, bank, department and location are page variables</t>
        </is>
      </c>
      <c r="C38" s="9" t="inlineStr">
        <is>
          <t>on employees, written by 70703183 SIR_WF Employee Mgt.</t>
        </is>
      </c>
      <c r="D38" s="9" t="inlineStr">
        <is>
          <t>No separate relative, bank or site entity sets.</t>
        </is>
      </c>
      <c r="E38" s="9" t="inlineStr">
        <is>
          <t>reviewer</t>
        </is>
      </c>
      <c r="F38" s="9" t="inlineStr">
        <is>
          <t>people</t>
        </is>
      </c>
      <c r="G38" s="9" t="n">
        <v>399</v>
      </c>
    </row>
    <row r="39">
      <c r="A39" s="8" t="inlineStr">
        <is>
          <t>GB-D38</t>
        </is>
      </c>
      <c r="B39" s="8" t="inlineStr">
        <is>
          <t>Bank details are written only by the last approval of a profile change</t>
        </is>
      </c>
      <c r="C39" s="9" t="inlineStr">
        <is>
          <t>; the Employee copy is refreshed by re-validating SIR Preferred Bank Acc. Code.</t>
        </is>
      </c>
      <c r="D39" s="9" t="inlineStr">
        <is>
          <t>BACS reads the Employee copy.</t>
        </is>
      </c>
      <c r="E39" s="9" t="inlineStr">
        <is>
          <t>reviewer</t>
        </is>
      </c>
      <c r="F39" s="9" t="inlineStr">
        <is>
          <t>people</t>
        </is>
      </c>
      <c r="G39" s="9" t="n">
        <v>400</v>
      </c>
    </row>
    <row r="40">
      <c r="A40" s="8" t="inlineStr">
        <is>
          <t>GB-D39</t>
        </is>
      </c>
      <c r="B40" s="8" t="inlineStr">
        <is>
          <t>Country hooks through interface SIR_WF Employee Localization</t>
        </is>
      </c>
      <c r="C40" s="9" t="inlineStr">
        <is>
          <t>on enum SIR Payroll Localization, default W1 implementation in Base, GB implementation in Qnipay-GB (as narrowed by GB-D21).</t>
        </is>
      </c>
      <c r="D40" s="9" t="inlineStr">
        <is>
          <t>Base's rule: country hooks through an interface (Qnipay-base/CLAUDE.md).</t>
        </is>
      </c>
      <c r="E40" s="9" t="inlineStr">
        <is>
          <t>reviewer</t>
        </is>
      </c>
      <c r="F40" s="9" t="inlineStr">
        <is>
          <t>people</t>
        </is>
      </c>
      <c r="G40" s="9" t="n">
        <v>401</v>
      </c>
    </row>
    <row r="41">
      <c r="A41" s="8" t="inlineStr">
        <is>
          <t>GB-D40</t>
        </is>
      </c>
      <c r="B41" s="8" t="inlineStr">
        <is>
          <t>CIS stays a neutral Base flag</t>
        </is>
      </c>
      <c r="C41" s="9" t="inlineStr">
        <is>
          <t>(SIR_WF CIS).</t>
        </is>
      </c>
      <c r="D41" s="9" t="inlineStr">
        <is>
          <t>It drives nothing in payroll.</t>
        </is>
      </c>
      <c r="E41" s="9" t="inlineStr">
        <is>
          <t>reviewer</t>
        </is>
      </c>
      <c r="F41" s="9" t="inlineStr">
        <is>
          <t>people</t>
        </is>
      </c>
      <c r="G41" s="9" t="n">
        <v>402</v>
      </c>
    </row>
    <row r="42">
      <c r="A42" s="8" t="inlineStr">
        <is>
          <t>GB-D41</t>
        </is>
      </c>
      <c r="B42" s="8" t="inlineStr">
        <is>
          <t>Employee history renamed</t>
        </is>
      </c>
      <c r="C42" s="9" t="inlineStr">
        <is>
          <t>SIR_WF Employee History; profile-change decisions become a child table; the route becomes two flags.</t>
        </is>
      </c>
      <c r="D42" s="9" t="inlineStr">
        <is>
          <t>The contract says employee; payroll can see who verified a bank change.</t>
        </is>
      </c>
      <c r="E42" s="9" t="inlineStr">
        <is>
          <t>reviewer</t>
        </is>
      </c>
      <c r="F42" s="9" t="inlineStr">
        <is>
          <t>people</t>
        </is>
      </c>
      <c r="G42" s="9" t="n">
        <v>403</v>
      </c>
    </row>
    <row r="43">
      <c r="A43" s="8" t="inlineStr">
        <is>
          <t>GB-D42</t>
        </is>
      </c>
      <c r="B43" s="8" t="inlineStr">
        <is>
          <t>Job Title mirrors the job profile name</t>
        </is>
      </c>
      <c r="C43" s="9" t="inlineStr">
        <is>
          <t>(first 30 characters).</t>
        </is>
      </c>
      <c r="D43" s="9" t="inlineStr">
        <is>
          <t>Payslips and QniConnect show it.</t>
        </is>
      </c>
      <c r="E43" s="9" t="inlineStr">
        <is>
          <t>reviewer</t>
        </is>
      </c>
      <c r="F43" s="9" t="inlineStr">
        <is>
          <t>people</t>
        </is>
      </c>
      <c r="G43" s="9" t="n">
        <v>404</v>
      </c>
    </row>
    <row r="44">
      <c r="A44" s="8" t="inlineStr">
        <is>
          <t>GB-D43</t>
        </is>
      </c>
      <c r="B44" s="8" t="inlineStr">
        <is>
          <t>next-code is computed in Node</t>
        </is>
      </c>
      <c r="C44" s="9" t="inlineStr">
        <is>
          <t>from the list of codes, not from Human Resources Setup."Employee Nos.".</t>
        </is>
      </c>
      <c r="D44" s="9" t="inlineStr">
        <is>
          <t>A read would advance the series.</t>
        </is>
      </c>
      <c r="E44" s="9" t="inlineStr">
        <is>
          <t>reviewer</t>
        </is>
      </c>
      <c r="F44" s="9" t="inlineStr">
        <is>
          <t>people</t>
        </is>
      </c>
      <c r="G44" s="9" t="n">
        <v>405</v>
      </c>
    </row>
    <row r="45">
      <c r="A45" s="8" t="inlineStr">
        <is>
          <t>GB-D44</t>
        </is>
      </c>
      <c r="B45" s="8" t="inlineStr">
        <is>
          <t>The Workforce day is not SIR Timesheet Header/Line</t>
        </is>
      </c>
      <c r="C45" s="9" t="inlineStr">
        <is>
          <t>The Workforce day is not SIR Timesheet Header/Line.</t>
        </is>
      </c>
      <c r="D45" s="9" t="inlineStr">
        <is>
          <t>GB Header/Line are per site and period, carry Rate and Amount, have no per-day state, breaks or history, and use standard workflow.</t>
        </is>
      </c>
      <c r="E45" s="9" t="inlineStr">
        <is>
          <t>reviewer</t>
        </is>
      </c>
      <c r="F45" s="9" t="inlineStr">
        <is>
          <t>timesheet</t>
        </is>
      </c>
      <c r="G45" s="9" t="n">
        <v>406</v>
      </c>
    </row>
    <row r="46">
      <c r="A46" s="8" t="inlineStr">
        <is>
          <t>GB-D45</t>
        </is>
      </c>
      <c r="B46" s="8" t="inlineStr">
        <is>
          <t>Node computes minutes, work type, warnings, the chain walk and the week plan</t>
        </is>
      </c>
      <c r="C46" s="9" t="inlineStr">
        <is>
          <t>; Business Central stores them and enforces structure: versions, state machine, lengths and counts, codes exist, site not blocked, job open, task on job, clock not running, posted pay period, self-approval.</t>
        </is>
      </c>
      <c r="D46" s="9" t="inlineStr">
        <is>
          <t>B5; the BC checks are single-row lookups.</t>
        </is>
      </c>
      <c r="E46" s="9" t="inlineStr">
        <is>
          <t>reviewer</t>
        </is>
      </c>
      <c r="F46" s="9" t="inlineStr">
        <is>
          <t>timesheet</t>
        </is>
      </c>
      <c r="G46" s="9" t="n">
        <v>407</v>
      </c>
    </row>
    <row r="47">
      <c r="A47" s="8" t="inlineStr">
        <is>
          <t>GB-D46</t>
        </is>
      </c>
      <c r="B47" s="8" t="inlineStr">
        <is>
          <t>Aggregate version</t>
        </is>
      </c>
      <c r="C47" s="9" t="inlineStr">
        <is>
          <t>70703179 SIR_WF Timesheet Week, bumped by every command that writes a day; week and multi-week submits send it.</t>
        </is>
      </c>
      <c r="D47" s="9" t="inlineStr">
        <is>
          <t>R2; the multi-week submit sends no per-day versions.</t>
        </is>
      </c>
      <c r="E47" s="9" t="inlineStr">
        <is>
          <t>reviewer</t>
        </is>
      </c>
      <c r="F47" s="9" t="inlineStr">
        <is>
          <t>timesheet</t>
        </is>
      </c>
      <c r="G47" s="9" t="n">
        <v>408</v>
      </c>
    </row>
    <row r="48">
      <c r="A48" s="8" t="inlineStr">
        <is>
          <t>GB-D47</t>
        </is>
      </c>
      <c r="B48" s="8" t="inlineStr">
        <is>
          <t>Bulk approval</t>
        </is>
      </c>
      <c r="C48" s="9" t="inlineStr">
        <is>
          <t>one command, one transaction, up to 500 days; load-tested in phase 3; if 300 days exceeds 2 s, chunks of 100 with later chunks held as QUEUE_CHANGED.</t>
        </is>
      </c>
      <c r="D48" s="9" t="inlineStr">
        <is>
          <t>R6 against the contract's all-or-nothing (GB-Q17).</t>
        </is>
      </c>
      <c r="E48" s="9" t="inlineStr">
        <is>
          <t>reviewer</t>
        </is>
      </c>
      <c r="F48" s="9" t="inlineStr">
        <is>
          <t>timesheet</t>
        </is>
      </c>
      <c r="G48" s="9" t="n">
        <v>409</v>
      </c>
    </row>
    <row r="49">
      <c r="A49" s="8" t="inlineStr">
        <is>
          <t>GB-D48</t>
        </is>
      </c>
      <c r="B49" s="8" t="inlineStr">
        <is>
          <t>Queue keys</t>
        </is>
      </c>
      <c r="C49" s="9" t="inlineStr">
        <is>
          <t>(Line Manager No., State, Date), (Waiting Role, State, Date), (Work Site Code, State, Date).</t>
        </is>
      </c>
      <c r="D49" s="9" t="inlineStr">
        <is>
          <t>The Timesheet chain has a Line manager and a Payroll layer; the site key serves scoped reads.</t>
        </is>
      </c>
      <c r="E49" s="9" t="inlineStr">
        <is>
          <t>reviewer</t>
        </is>
      </c>
      <c r="F49" s="9" t="inlineStr">
        <is>
          <t>timesheet</t>
        </is>
      </c>
      <c r="G49" s="9" t="n">
        <v>410</v>
      </c>
    </row>
    <row r="50">
      <c r="A50" s="8" t="inlineStr">
        <is>
          <t>GB-D49</t>
        </is>
      </c>
      <c r="B50" s="8" t="inlineStr">
        <is>
          <t>Allowances, entry capture fields and type capture are child tables</t>
        </is>
      </c>
      <c r="C50" s="9" t="inlineStr">
        <is>
          <t>, not Blobs; warnings and clock written breaks are Text JSON.</t>
        </is>
      </c>
      <c r="D50" s="9" t="inlineStr">
        <is>
          <t>B7 for configuration; usedBy on pay codes; R8.</t>
        </is>
      </c>
      <c r="E50" s="9" t="inlineStr">
        <is>
          <t>reviewer</t>
        </is>
      </c>
      <c r="F50" s="9" t="inlineStr">
        <is>
          <t>timesheet</t>
        </is>
      </c>
      <c r="G50" s="9" t="n">
        <v>411</v>
      </c>
    </row>
    <row r="51">
      <c r="A51" s="8" t="inlineStr">
        <is>
          <t>GB-D50</t>
        </is>
      </c>
      <c r="B51" s="8" t="inlineStr">
        <is>
          <t>No shift field and no leave link on the day</t>
        </is>
      </c>
      <c r="C51" s="9" t="inlineStr">
        <is>
          <t>while Rota and Leave are off; nonWorkingReason stays free text.</t>
        </is>
      </c>
      <c r="D51" s="9" t="inlineStr">
        <is>
          <t>The contract has no shift; GB has no shift table.</t>
        </is>
      </c>
      <c r="E51" s="9" t="inlineStr">
        <is>
          <t>reviewer</t>
        </is>
      </c>
      <c r="F51" s="9" t="inlineStr">
        <is>
          <t>timesheet</t>
        </is>
      </c>
      <c r="G51" s="9" t="n">
        <v>412</v>
      </c>
    </row>
    <row r="52">
      <c r="A52" s="8" t="inlineStr">
        <is>
          <t>GB-D51</t>
        </is>
      </c>
      <c r="B52" s="8" t="inlineStr">
        <is>
          <t>Cutoff stored as Cutoff Day and Cutoff Time</t>
        </is>
      </c>
      <c r="C52" s="9" t="inlineStr">
        <is>
          <t>; Node composes "Monday 12:00".</t>
        </is>
      </c>
      <c r="D52" s="9" t="inlineStr">
        <is>
          <t>Editable and checkable on a BC page (B7).</t>
        </is>
      </c>
      <c r="E52" s="9" t="inlineStr">
        <is>
          <t>reviewer</t>
        </is>
      </c>
      <c r="F52" s="9" t="inlineStr">
        <is>
          <t>timesheet</t>
        </is>
      </c>
      <c r="G52" s="9" t="n">
        <v>413</v>
      </c>
    </row>
    <row r="53">
      <c r="A53" s="8" t="inlineStr">
        <is>
          <t>GB-D52</t>
        </is>
      </c>
      <c r="B53" s="8" t="inlineStr">
        <is>
          <t>The clock's local date comes from Node</t>
        </is>
      </c>
      <c r="C53" s="9" t="inlineStr">
        <is>
          <t>; BC refuses a date more than one day from CurrentDateTime and an asOf more than 60 s off.</t>
        </is>
      </c>
      <c r="D53" s="9" t="inlineStr">
        <is>
          <t>BC has no IANA time zone conversion (R13).</t>
        </is>
      </c>
      <c r="E53" s="9" t="inlineStr">
        <is>
          <t>reviewer</t>
        </is>
      </c>
      <c r="F53" s="9" t="inlineStr">
        <is>
          <t>timesheet</t>
        </is>
      </c>
      <c r="G53" s="9" t="n">
        <v>414</v>
      </c>
    </row>
    <row r="54">
      <c r="A54" s="8" t="inlineStr">
        <is>
          <t>GB-D53</t>
        </is>
      </c>
      <c r="B54" s="8" t="inlineStr">
        <is>
          <t>Timesheet Config is a separate SIR_WF singleton</t>
        </is>
      </c>
      <c r="C54" s="9" t="inlineStr">
        <is>
          <t>, not fields on SIR Timesheet Setup.</t>
        </is>
      </c>
      <c r="D54" s="9" t="inlineStr">
        <is>
          <t>Keeps payroll setup out of the connector's write rights.</t>
        </is>
      </c>
      <c r="E54" s="9" t="inlineStr">
        <is>
          <t>reviewer</t>
        </is>
      </c>
      <c r="F54" s="9" t="inlineStr">
        <is>
          <t>timesheet</t>
        </is>
      </c>
      <c r="G54" s="9" t="n">
        <v>415</v>
      </c>
    </row>
    <row r="55">
      <c r="A55" s="8" t="inlineStr">
        <is>
          <t>GB-D54</t>
        </is>
      </c>
      <c r="B55" s="8" t="inlineStr">
        <is>
          <t>No new GB table for starters</t>
        </is>
      </c>
      <c r="C55" s="9" t="inlineStr">
        <is>
          <t>the GB data lands in the existing SIR_GB Starter Checklist (one row per starter, Employee Created, Released).</t>
        </is>
      </c>
      <c r="D55" s="9" t="inlineStr">
        <is>
          <t>Workforce starters appear in the existing archive page; HMRC's starter record stays where payroll looks.</t>
        </is>
      </c>
      <c r="E55" s="9" t="inlineStr">
        <is>
          <t>reviewer</t>
        </is>
      </c>
      <c r="F55" s="9" t="inlineStr">
        <is>
          <t>onboarding</t>
        </is>
      </c>
      <c r="G55" s="9" t="n">
        <v>416</v>
      </c>
    </row>
    <row r="56">
      <c r="A56" s="8" t="inlineStr">
        <is>
          <t>GB-D55</t>
        </is>
      </c>
      <c r="B56" s="8" t="inlineStr">
        <is>
          <t>GB refactor</t>
        </is>
      </c>
      <c r="C56" s="9" t="inlineStr">
        <is>
          <t>lines 427–484 of CreateEmployee move into ApplyToEmployee(var Employee) on the checklist table; CreateEmployee calls it; the subscriber calls it.</t>
        </is>
      </c>
      <c r="D56" s="9" t="inlineStr">
        <is>
          <t>The logic is inline with a new-employee create and a Confirm. Existing behaviour unchanged.</t>
        </is>
      </c>
      <c r="E56" s="9" t="inlineStr">
        <is>
          <t>reviewer</t>
        </is>
      </c>
      <c r="F56" s="9" t="inlineStr">
        <is>
          <t>onboarding</t>
        </is>
      </c>
      <c r="G56" s="9" t="n">
        <v>417</v>
      </c>
    </row>
    <row r="57">
      <c r="A57" s="8" t="inlineStr">
        <is>
          <t>GB-D56</t>
        </is>
      </c>
      <c r="B57" s="8" t="inlineStr">
        <is>
          <t>Checklist Full Name takes the typed signature</t>
        </is>
      </c>
      <c r="C57" s="9" t="inlineStr">
        <is>
          <t>, assigned after the names.</t>
        </is>
      </c>
      <c r="D57" s="9" t="inlineStr">
        <is>
          <t>Since commit c9338bd Full Name no longer recalculates on validate.</t>
        </is>
      </c>
      <c r="E57" s="9" t="inlineStr">
        <is>
          <t>reviewer</t>
        </is>
      </c>
      <c r="F57" s="9" t="inlineStr">
        <is>
          <t>onboarding</t>
        </is>
      </c>
      <c r="G57" s="9" t="n">
        <v>418</v>
      </c>
    </row>
    <row r="58">
      <c r="A58" s="8" t="inlineStr">
        <is>
          <t>GB-D57</t>
        </is>
      </c>
      <c r="B58" s="8" t="inlineStr">
        <is>
          <t>Blob JSON only for answers</t>
        </is>
      </c>
      <c r="C58" s="9" t="inlineStr">
        <is>
          <t>(Data, Country Data), classified EUII, on no BC page, readable only by the starter through readMyData. Configuration, templates, step states, acknowledgements and the asked snapshot are tables.</t>
        </is>
      </c>
      <c r="D58" s="9" t="inlineStr">
        <is>
          <t>B7.</t>
        </is>
      </c>
      <c r="E58" s="9" t="inlineStr">
        <is>
          <t>reviewer</t>
        </is>
      </c>
      <c r="F58" s="9" t="inlineStr">
        <is>
          <t>onboarding</t>
        </is>
      </c>
      <c r="G58" s="9" t="n">
        <v>419</v>
      </c>
    </row>
    <row r="59">
      <c r="A59" s="8" t="inlineStr">
        <is>
          <t>GB-D58</t>
        </is>
      </c>
      <c r="B59" s="8" t="inlineStr">
        <is>
          <t>The Default onboarding template is not a row</t>
        </is>
      </c>
      <c r="C59" s="9" t="inlineStr">
        <is>
          <t>: doc-type defaults, step defaults and template-policy rows with a blank template. Node resolves the template per starter from the job profile.</t>
        </is>
      </c>
      <c r="D59" s="9" t="inlineStr">
        <is>
          <t>B5; no special row to protect.</t>
        </is>
      </c>
      <c r="E59" s="9" t="inlineStr">
        <is>
          <t>reviewer</t>
        </is>
      </c>
      <c r="F59" s="9" t="inlineStr">
        <is>
          <t>onboarding</t>
        </is>
      </c>
      <c r="G59" s="9" t="n">
        <v>420</v>
      </c>
    </row>
    <row r="60">
      <c r="A60" s="8" t="inlineStr">
        <is>
          <t>GB-D59</t>
        </is>
      </c>
      <c r="B60" s="8" t="inlineStr">
        <is>
          <t>Files never in BC</t>
        </is>
      </c>
      <c r="C60" s="9" t="inlineStr">
        <is>
          <t>Documents and policies keep name, size, type, time, storage key, hash and scan state; files and previews go to Azure Blob Storage.</t>
        </is>
      </c>
      <c r="D60" s="9" t="inlineStr">
        <is>
          <t>P6.</t>
        </is>
      </c>
      <c r="E60" s="9" t="inlineStr">
        <is>
          <t>reviewer</t>
        </is>
      </c>
      <c r="F60" s="9" t="inlineStr">
        <is>
          <t>onboarding</t>
        </is>
      </c>
      <c r="G60" s="9" t="n">
        <v>421</v>
      </c>
    </row>
    <row r="61">
      <c r="A61" s="8" t="inlineStr">
        <is>
          <t>GB-D60</t>
        </is>
      </c>
      <c r="B61" s="8" t="inlineStr">
        <is>
          <t>The start is one transaction</t>
        </is>
      </c>
      <c r="C61" s="9" t="inlineStr">
        <is>
          <t>GB pre-checks, Base write-back (Employee, Relatives, Qualifications), GB apply (NINO, checklist, declaration, loans), case Started At, state active, audit.</t>
        </is>
      </c>
      <c r="D61" s="9" t="inlineStr">
        <is>
          <t>Any refusal rolls back all of it.</t>
        </is>
      </c>
      <c r="E61" s="9" t="inlineStr">
        <is>
          <t>reviewer</t>
        </is>
      </c>
      <c r="F61" s="9" t="inlineStr">
        <is>
          <t>onboarding</t>
        </is>
      </c>
      <c r="G61" s="9" t="n">
        <v>422</v>
      </c>
    </row>
    <row r="62">
      <c r="A62" s="8" t="inlineStr">
        <is>
          <t>GB-D61</t>
        </is>
      </c>
      <c r="B62" s="8" t="inlineStr">
        <is>
          <t>Fallback with no GB answers</t>
        </is>
      </c>
      <c r="C62" s="9" t="inlineStr">
        <is>
          <t>GB sets SIR_GB Employee Setting Basis to "No Starter Checklist" (declaration "another job or pension"); the tax code stays with payroll.</t>
        </is>
      </c>
      <c r="D62" s="9" t="inlineStr">
        <is>
          <t>Behaviour of commit 238f37f; SuggestTaxSetupForAnotherJob only shows a message.</t>
        </is>
      </c>
      <c r="E62" s="9" t="inlineStr">
        <is>
          <t>reviewer</t>
        </is>
      </c>
      <c r="F62" s="9" t="inlineStr">
        <is>
          <t>onboarding</t>
        </is>
      </c>
      <c r="G62" s="9" t="n">
        <v>423</v>
      </c>
    </row>
    <row r="63">
      <c r="A63" s="8" t="inlineStr">
        <is>
          <t>GB-D62</t>
        </is>
      </c>
      <c r="B63" s="8" t="inlineStr">
        <is>
          <t>Posting Line Id key is non-unique</t>
        </is>
      </c>
      <c r="C63" s="9" t="inlineStr">
        <is>
          <t>Exactly once comes from the dispatcher: lock the line, re-check State queued, look for a row with the Guid in both interface tables, then insert and set posted in one transaction.</t>
        </is>
      </c>
      <c r="D63" s="9" t="inlineStr">
        <is>
          <t>Solves D without touching imported or historical rows.</t>
        </is>
      </c>
      <c r="E63" s="9" t="inlineStr">
        <is>
          <t>reviewer</t>
        </is>
      </c>
      <c r="F63" s="9" t="inlineStr">
        <is>
          <t>posting</t>
        </is>
      </c>
      <c r="G63" s="9" t="n">
        <v>424</v>
      </c>
    </row>
    <row r="64">
      <c r="A64" s="8" t="inlineStr">
        <is>
          <t>GB-D63</t>
        </is>
      </c>
      <c r="B64" s="8" t="inlineStr">
        <is>
          <t>One posting line per day, pay code and work site</t>
        </is>
      </c>
      <c r="C64" s="9" t="inlineStr">
        <is>
          <t>One posting line per day, pay code and work site.</t>
        </is>
      </c>
      <c r="D64" s="9" t="inlineStr">
        <is>
          <t>An interface row has one Site Code.</t>
        </is>
      </c>
      <c r="E64" s="9" t="inlineStr">
        <is>
          <t>reviewer</t>
        </is>
      </c>
      <c r="F64" s="9" t="inlineStr">
        <is>
          <t>posting</t>
        </is>
      </c>
      <c r="G64" s="9" t="n">
        <v>425</v>
      </c>
    </row>
    <row r="65">
      <c r="A65" s="8" t="inlineStr">
        <is>
          <t>GB-D64</t>
        </is>
      </c>
      <c r="B65" s="8" t="inlineStr">
        <is>
          <t>No rate, amount or currency anywhere</t>
        </is>
      </c>
      <c r="C65" s="9" t="inlineStr">
        <is>
          <t>; the dispatcher checks an SIR Employee Site Pay Elements row exists on its key only.</t>
        </is>
      </c>
      <c r="D65" s="9" t="inlineStr">
        <is>
          <t>Catches A's commonest failure early without reading money.</t>
        </is>
      </c>
      <c r="E65" s="9" t="inlineStr">
        <is>
          <t>reviewer</t>
        </is>
      </c>
      <c r="F65" s="9" t="inlineStr">
        <is>
          <t>posting</t>
        </is>
      </c>
      <c r="G65" s="9" t="n">
        <v>426</v>
      </c>
    </row>
    <row r="66">
      <c r="A66" s="8" t="inlineStr">
        <is>
          <t>GB-D65</t>
        </is>
      </c>
      <c r="B66" s="8" t="inlineStr">
        <is>
          <t>A data error fails the line at once with a code; anything else is transient</t>
        </is>
      </c>
      <c r="C66" s="9" t="inlineStr">
        <is>
          <t>and retries at 1, 5, 15 and 60 minutes, then fails.</t>
        </is>
      </c>
      <c r="D66" s="9" t="inlineStr">
        <is>
          <t>AL cannot classify lock errors reliably; known data conditions are pre-checked.</t>
        </is>
      </c>
      <c r="E66" s="9" t="inlineStr">
        <is>
          <t>reviewer</t>
        </is>
      </c>
      <c r="F66" s="9" t="inlineStr">
        <is>
          <t>posting</t>
        </is>
      </c>
      <c r="G66" s="9" t="n">
        <v>427</v>
      </c>
    </row>
    <row r="67">
      <c r="A67" s="8" t="inlineStr">
        <is>
          <t>GB-D66</t>
        </is>
      </c>
      <c r="B67" s="8" t="inlineStr">
        <is>
          <t>Late days fail with PERIOD_POSTED</t>
        </is>
      </c>
      <c r="C67" s="9" t="inlineStr">
        <is>
          <t>; Workforce never re-dates hours into another period.</t>
        </is>
      </c>
      <c r="D67" s="9" t="inlineStr">
        <is>
          <t>Moving hours silently changes RTI figures and GB holiday pay (GB-Q26).</t>
        </is>
      </c>
      <c r="E67" s="9" t="inlineStr">
        <is>
          <t>reviewer</t>
        </is>
      </c>
      <c r="F67" s="9" t="inlineStr">
        <is>
          <t>posting</t>
        </is>
      </c>
      <c r="G67" s="9" t="n">
        <v>428</v>
      </c>
    </row>
    <row r="68">
      <c r="A68" s="8" t="inlineStr">
        <is>
          <t>GB-D67</t>
        </is>
      </c>
      <c r="B68" s="8" t="inlineStr">
        <is>
          <t>Fallback if the Base change for G is refused</t>
        </is>
      </c>
      <c r="C68" s="9" t="inlineStr">
        <is>
          <t>the dispatcher holds a line until its period is the earliest unposted one for that pay frequency, and posting is allowed only where every Workforce employee shares one pay frequency.</t>
        </is>
      </c>
      <c r="D68" s="9" t="inlineStr">
        <is>
          <t>Narrows, but does not close, the sweep risk.</t>
        </is>
      </c>
      <c r="E68" s="9" t="inlineStr">
        <is>
          <t>reviewer</t>
        </is>
      </c>
      <c r="F68" s="9" t="inlineStr">
        <is>
          <t>posting</t>
        </is>
      </c>
      <c r="G68" s="9" t="n">
        <v>429</v>
      </c>
    </row>
    <row r="69">
      <c r="A69" s="8" t="inlineStr">
        <is>
          <t>GB-D68</t>
        </is>
      </c>
      <c r="B69" s="8" t="inlineStr">
        <is>
          <t>Reconciliation</t>
        </is>
      </c>
      <c r="C69" s="9" t="inlineStr">
        <is>
          <t>uses the report's line events to record where each row landed, and a nightly job marks a line reconciled when that period is posted.</t>
        </is>
      </c>
      <c r="D69" s="9" t="inlineStr">
        <is>
          <t>GB has no row-level link from line to payroll (P).</t>
        </is>
      </c>
      <c r="E69" s="9" t="inlineStr">
        <is>
          <t>reviewer</t>
        </is>
      </c>
      <c r="F69" s="9" t="inlineStr">
        <is>
          <t>posting</t>
        </is>
      </c>
      <c r="G69" s="9" t="n">
        <v>430</v>
      </c>
    </row>
    <row r="70">
      <c r="A70" s="8" t="inlineStr">
        <is>
          <t>GB-D69</t>
        </is>
      </c>
      <c r="B70" s="8" t="inlineStr">
        <is>
          <t>The dispatcher and reconcile share Job Queue Category SIR_WF-POST</t>
        </is>
      </c>
      <c r="C70" s="9" t="inlineStr">
        <is>
          <t>The dispatcher and reconcile share Job Queue Category SIR_WF-POST.</t>
        </is>
      </c>
      <c r="D70" s="9" t="inlineStr">
        <is>
          <t>They never run at the same time.</t>
        </is>
      </c>
      <c r="E70" s="9" t="inlineStr">
        <is>
          <t>reviewer</t>
        </is>
      </c>
      <c r="F70" s="9" t="inlineStr">
        <is>
          <t>posting</t>
        </is>
      </c>
      <c r="G70" s="9" t="n">
        <v>431</v>
      </c>
    </row>
    <row r="71">
      <c r="A71" s="8" t="inlineStr">
        <is>
          <t>GB-D70</t>
        </is>
      </c>
      <c r="B71" s="8" t="inlineStr">
        <is>
          <t>Restore the contract's posting surface under the old names</t>
        </is>
      </c>
      <c r="C71" s="9" t="inlineStr">
        <is>
          <t>(C1).</t>
        </is>
      </c>
      <c r="D71" s="9" t="inlineStr">
        <is>
          <t>Keeps 02 §5.8 and 03 #98 valid.</t>
        </is>
      </c>
      <c r="E71" s="9" t="inlineStr">
        <is>
          <t>reviewer</t>
        </is>
      </c>
      <c r="F71" s="9" t="inlineStr">
        <is>
          <t>posting</t>
        </is>
      </c>
      <c r="G71" s="9" t="n">
        <v>432</v>
      </c>
    </row>
  </sheetData>
  <autoFilter ref="A1:G7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9" customWidth="1" min="3" max="3"/>
    <col width="28" customWidth="1" min="4" max="4"/>
    <col width="80" customWidth="1" min="5" max="5"/>
    <col width="55" customWidth="1" min="6" max="6"/>
    <col width="18" customWidth="1" min="7" max="7"/>
    <col width="11" customWidth="1" min="8" max="8"/>
    <col width="45" customWidth="1" min="9" max="9"/>
    <col width="9" customWidth="1" min="10" max="10"/>
  </cols>
  <sheetData>
    <row r="1">
      <c r="A1" s="7" t="inlineStr">
        <is>
          <t>ID</t>
        </is>
      </c>
      <c r="B1" s="7" t="inlineStr">
        <is>
          <t>Who answers</t>
        </is>
      </c>
      <c r="C1" s="7" t="inlineStr">
        <is>
          <t>Priority</t>
        </is>
      </c>
      <c r="D1" s="7" t="inlineStr">
        <is>
          <t>Topic</t>
        </is>
      </c>
      <c r="E1" s="7" t="inlineStr">
        <is>
          <t>Question</t>
        </is>
      </c>
      <c r="F1" s="7" t="inlineStr">
        <is>
          <t>Why it matters</t>
        </is>
      </c>
      <c r="G1" s="7" t="inlineStr">
        <is>
          <t>Raised by</t>
        </is>
      </c>
      <c r="H1" s="7" t="inlineStr">
        <is>
          <t>Status</t>
        </is>
      </c>
      <c r="I1" s="7" t="inlineStr">
        <is>
          <t>Answer / notes</t>
        </is>
      </c>
      <c r="J1" s="7" t="inlineStr">
        <is>
          <t>Source line</t>
        </is>
      </c>
    </row>
    <row r="2">
      <c r="A2" s="10" t="inlineStr">
        <is>
          <t>GB-Q1</t>
        </is>
      </c>
      <c r="B2" s="10" t="inlineStr">
        <is>
          <t>User and product</t>
        </is>
      </c>
      <c r="C2" s="11" t="inlineStr">
        <is>
          <t>Top 6</t>
        </is>
      </c>
      <c r="D2" s="11" t="inlineStr">
        <is>
          <t>GB starter declaration in the app?</t>
        </is>
      </c>
      <c r="E2" s="11" t="inlineStr">
        <is>
          <t>The contract collects only the NI number. To fill the starter checklist the app must ask: statement A/B/C, another job, state or private pension, payments since 6 April, student loan (plan 1/2/4/5), postgraduate loan, still studying. Add a GB-only step (doc 12 §5.3)?</t>
        </is>
      </c>
      <c r="F2" s="11" t="inlineStr">
        <is>
          <t>Without it every Workforce starter falls back to declaration C and an emergency tax basis.</t>
        </is>
      </c>
      <c r="G2" s="11" t="inlineStr">
        <is>
          <t>onboarding 1</t>
        </is>
      </c>
      <c r="H2" s="12" t="inlineStr">
        <is>
          <t>Open</t>
        </is>
      </c>
      <c r="I2" s="12" t="inlineStr"/>
      <c r="J2" s="9" t="n">
        <v>442</v>
      </c>
    </row>
    <row r="3">
      <c r="A3" s="10" t="inlineStr">
        <is>
          <t>GB-Q2</t>
        </is>
      </c>
      <c r="B3" s="10" t="inlineStr">
        <is>
          <t>User and product</t>
        </is>
      </c>
      <c r="C3" s="11" t="inlineStr">
        <is>
          <t>Top 6</t>
        </is>
      </c>
      <c r="D3" s="11" t="inlineStr">
        <is>
          <t>On leave and suspended</t>
        </is>
      </c>
      <c r="E3" s="11" t="inlineStr">
        <is>
          <t>keep Status = Active so pay continues (Workforce state only), or map to Inactive and stop pay, as 02 §2.2 does?</t>
        </is>
      </c>
      <c r="F3" s="11" t="inlineStr">
        <is>
          <t>GB leaves Inactive employees out of the payroll run and logs an error.</t>
        </is>
      </c>
      <c r="G3" s="11" t="inlineStr">
        <is>
          <t>people 1</t>
        </is>
      </c>
      <c r="H3" s="12" t="inlineStr">
        <is>
          <t>Open</t>
        </is>
      </c>
      <c r="I3" s="12" t="inlineStr"/>
      <c r="J3" s="9" t="n">
        <v>443</v>
      </c>
    </row>
    <row r="4">
      <c r="A4" s="10" t="inlineStr">
        <is>
          <t>GB-Q3</t>
        </is>
      </c>
      <c r="B4" s="10" t="inlineStr">
        <is>
          <t>User and product</t>
        </is>
      </c>
      <c r="C4" s="11" t="inlineStr">
        <is>
          <t>Top 6</t>
        </is>
      </c>
      <c r="D4" s="11" t="inlineStr">
        <is>
          <t>Timesheet lock</t>
        </is>
      </c>
      <c r="E4" s="11" t="inlineStr">
        <is>
          <t>the contract's weekly cut-off ("Monday 12:00"), the GB pay period (often monthly), or both, as now (cut-off in Node, posted pay period in BC)?</t>
        </is>
      </c>
      <c r="F4" s="11" t="inlineStr">
        <is>
          <t>A monthly payroll with a weekly lock refuses late time three weeks early, or the reverse.</t>
        </is>
      </c>
      <c r="G4" s="11" t="inlineStr">
        <is>
          <t>timesheet Q1</t>
        </is>
      </c>
      <c r="H4" s="12" t="inlineStr">
        <is>
          <t>Open</t>
        </is>
      </c>
      <c r="I4" s="12" t="inlineStr"/>
      <c r="J4" s="9" t="n">
        <v>444</v>
      </c>
    </row>
    <row r="5">
      <c r="A5" s="8" t="inlineStr">
        <is>
          <t>GB-Q4</t>
        </is>
      </c>
      <c r="B5" s="8" t="inlineStr">
        <is>
          <t>User and product</t>
        </is>
      </c>
      <c r="C5" s="9" t="inlineStr"/>
      <c r="D5" s="9" t="inlineStr">
        <is>
          <t>Gender for HMRC</t>
        </is>
      </c>
      <c r="E5" s="9" t="inlineStr">
        <is>
          <t>should the app ask a required "legal sex for HMRC" (male/female) for GB?</t>
        </is>
      </c>
      <c r="F5" s="9" t="inlineStr">
        <is>
          <t>FPS sends only male or female and RTI validation requires gender; the app's gender is optional and offers "Prefer not to say" and "Other".</t>
        </is>
      </c>
      <c r="G5" s="9" t="inlineStr">
        <is>
          <t>onboarding 2</t>
        </is>
      </c>
      <c r="H5" s="12" t="inlineStr">
        <is>
          <t>Open</t>
        </is>
      </c>
      <c r="I5" s="12" t="inlineStr"/>
      <c r="J5" s="9" t="n">
        <v>445</v>
      </c>
    </row>
    <row r="6">
      <c r="A6" s="8" t="inlineStr">
        <is>
          <t>GB-Q5</t>
        </is>
      </c>
      <c r="B6" s="8" t="inlineStr">
        <is>
          <t>User and product</t>
        </is>
      </c>
      <c r="C6" s="9" t="inlineStr"/>
      <c r="D6" s="9" t="inlineStr">
        <is>
          <t>NI number optional for GB?</t>
        </is>
      </c>
      <c r="E6" s="9" t="inlineStr">
        <is>
          <t>NI number optional for GB?</t>
        </is>
      </c>
      <c r="F6" s="9" t="inlineStr">
        <is>
          <t>Some starters have no NINO yet; the app makes it required.</t>
        </is>
      </c>
      <c r="G6" s="9" t="inlineStr">
        <is>
          <t>onboarding 3</t>
        </is>
      </c>
      <c r="H6" s="12" t="inlineStr">
        <is>
          <t>Open</t>
        </is>
      </c>
      <c r="I6" s="12" t="inlineStr"/>
      <c r="J6" s="9" t="n">
        <v>446</v>
      </c>
    </row>
    <row r="7">
      <c r="A7" s="8" t="inlineStr">
        <is>
          <t>GB-Q6</t>
        </is>
      </c>
      <c r="B7" s="8" t="inlineStr">
        <is>
          <t>User and product</t>
        </is>
      </c>
      <c r="C7" s="9" t="inlineStr"/>
      <c r="D7" s="9" t="inlineStr">
        <is>
          <t>Right to work</t>
        </is>
      </c>
      <c r="E7" s="9" t="inlineStr">
        <is>
          <t>capture passport number and visa or permission expiry, to fill SIR_GB Passport Number and SIR_GB Visa Expiry Date and support follow-up checks?</t>
        </is>
      </c>
      <c r="F7" s="9" t="inlineStr">
        <is>
          <t>RTI validation can require the passport number.</t>
        </is>
      </c>
      <c r="G7" s="9" t="inlineStr">
        <is>
          <t>onboarding 4</t>
        </is>
      </c>
      <c r="H7" s="12" t="inlineStr">
        <is>
          <t>Open</t>
        </is>
      </c>
      <c r="I7" s="12" t="inlineStr"/>
      <c r="J7" s="9" t="n">
        <v>447</v>
      </c>
    </row>
    <row r="8">
      <c r="A8" s="8" t="inlineStr">
        <is>
          <t>GB-Q7</t>
        </is>
      </c>
      <c r="B8" s="8" t="inlineStr">
        <is>
          <t>User and product</t>
        </is>
      </c>
      <c r="C8" s="9" t="inlineStr"/>
      <c r="D8" s="9" t="inlineStr">
        <is>
          <t>Organisation details</t>
        </is>
      </c>
      <c r="E8" s="9" t="inlineStr">
        <is>
          <t>may a Workforce settings write change Company Information's name and address, or should Workforce keep its own display name and address in SIR_WF Setup?</t>
        </is>
      </c>
      <c r="F8" s="9" t="inlineStr">
        <is>
          <t>Company Information feeds payslips, P60/P45 and HMRC submissions.</t>
        </is>
      </c>
      <c r="G8" s="9" t="inlineStr">
        <is>
          <t>foundation 2</t>
        </is>
      </c>
      <c r="H8" s="12" t="inlineStr">
        <is>
          <t>Open</t>
        </is>
      </c>
      <c r="I8" s="12" t="inlineStr"/>
      <c r="J8" s="9" t="n">
        <v>448</v>
      </c>
    </row>
    <row r="9">
      <c r="A9" s="8" t="inlineStr">
        <is>
          <t>GB-Q8</t>
        </is>
      </c>
      <c r="B9" s="8" t="inlineStr">
        <is>
          <t>User and product</t>
        </is>
      </c>
      <c r="C9" s="9" t="inlineStr"/>
      <c r="D9" s="9" t="inlineStr">
        <is>
          <t>Bank holidays</t>
        </is>
      </c>
      <c r="E9" s="9" t="inlineStr">
        <is>
          <t>may a Workforce admin edit the timesheet base calendar from React; what if SIR Timesheet Setup."Base Calender" is blank (refuse, or create and set one); and one tenant calendar, or each employee's SIR Employee Calendar when set?</t>
        </is>
      </c>
      <c r="F9" s="9" t="inlineStr">
        <is>
          <t>The calendar feeds payroll working days and GB statutory leave; GB already allows per-employee calendars.</t>
        </is>
      </c>
      <c r="G9" s="9" t="inlineStr">
        <is>
          <t>foundation 3, timesheet Q2</t>
        </is>
      </c>
      <c r="H9" s="12" t="inlineStr">
        <is>
          <t>Open</t>
        </is>
      </c>
      <c r="I9" s="12" t="inlineStr"/>
      <c r="J9" s="9" t="n">
        <v>449</v>
      </c>
    </row>
    <row r="10">
      <c r="A10" s="8" t="inlineStr">
        <is>
          <t>GB-Q9</t>
        </is>
      </c>
      <c r="B10" s="8" t="inlineStr">
        <is>
          <t>User and product</t>
        </is>
      </c>
      <c r="C10" s="9" t="inlineStr"/>
      <c r="D10" s="9" t="inlineStr">
        <is>
          <t>Module switches from React</t>
        </is>
      </c>
      <c r="E10" s="9" t="inlineStr">
        <is>
          <t>allow PATCH /tenant/modules/:code (writes SIR Feature Register through the same rules), or refuse with locked and point to Payroll Feature Management?</t>
        </is>
      </c>
      <c r="F10" s="9" t="inlineStr">
        <is>
          <t>B8 says read only, but the operation is in the contract (C10).</t>
        </is>
      </c>
      <c r="G10" s="9" t="inlineStr">
        <is>
          <t>foundation 1</t>
        </is>
      </c>
      <c r="H10" s="12" t="inlineStr">
        <is>
          <t>Open</t>
        </is>
      </c>
      <c r="I10" s="12" t="inlineStr"/>
      <c r="J10" s="9" t="n">
        <v>450</v>
      </c>
    </row>
    <row r="11">
      <c r="A11" s="8" t="inlineStr">
        <is>
          <t>GB-Q10</t>
        </is>
      </c>
      <c r="B11" s="8" t="inlineStr">
        <is>
          <t>User and product</t>
        </is>
      </c>
      <c r="C11" s="9" t="inlineStr"/>
      <c r="D11" s="9" t="inlineStr">
        <is>
          <t>QniConnect portal users</t>
        </is>
      </c>
      <c r="E11" s="9" t="inlineStr">
        <is>
          <t>where are /bc/portalUsers, isAdmin and registrations stored today; is 70703152 SIR_WF Account meant to replace them (06 §4 point 2, R18); and which app owns the portal login when portal-invite stops being record-only?</t>
        </is>
      </c>
      <c r="F11" s="9" t="inlineStr">
        <is>
          <t>Neither GB repo has them.</t>
        </is>
      </c>
      <c r="G11" s="9" t="inlineStr">
        <is>
          <t>foundation 6, onboarding 10</t>
        </is>
      </c>
      <c r="H11" s="12" t="inlineStr">
        <is>
          <t>Open</t>
        </is>
      </c>
      <c r="I11" s="12" t="inlineStr"/>
      <c r="J11" s="9" t="n">
        <v>451</v>
      </c>
    </row>
    <row r="12">
      <c r="A12" s="8" t="inlineStr">
        <is>
          <t>GB-Q11</t>
        </is>
      </c>
      <c r="B12" s="8" t="inlineStr">
        <is>
          <t>User and product</t>
        </is>
      </c>
      <c r="C12" s="9" t="inlineStr"/>
      <c r="D12" s="9" t="inlineStr">
        <is>
          <t>Bell double-count</t>
        </is>
      </c>
      <c r="E12" s="9" t="inlineStr">
        <is>
          <t>filter GB page 70702825 to Payslip, or have the merged app read only /api/v1/notifications/me (which includes payslip rows)?</t>
        </is>
      </c>
      <c r="F12" s="9" t="inlineStr">
        <is>
          <t>Workforce rows in SIR Notification Entry will also appear in QniConnect's /bc/notifications bell.</t>
        </is>
      </c>
      <c r="G12" s="9" t="inlineStr">
        <is>
          <t>foundation 5</t>
        </is>
      </c>
      <c r="H12" s="12" t="inlineStr">
        <is>
          <t>Open</t>
        </is>
      </c>
      <c r="I12" s="12" t="inlineStr"/>
      <c r="J12" s="9" t="n">
        <v>452</v>
      </c>
    </row>
    <row r="13">
      <c r="A13" s="8" t="inlineStr">
        <is>
          <t>GB-Q12</t>
        </is>
      </c>
      <c r="B13" s="8" t="inlineStr">
        <is>
          <t>User and product</t>
        </is>
      </c>
      <c r="C13" s="9" t="inlineStr"/>
      <c r="D13" s="9" t="inlineStr">
        <is>
          <t>Which dimensions are department and cost centre?</t>
        </is>
      </c>
      <c r="E13" s="9" t="inlineStr">
        <is>
          <t>Point SIR_WF Setup at existing ones (Payroll Dimension 1–3, Work Site Dimension, HR Setup's SIR Employee Dimension) or create new ones?</t>
        </is>
      </c>
      <c r="F13" s="9" t="inlineStr">
        <is>
          <t>GB tenants already post with these dimensions.</t>
        </is>
      </c>
      <c r="G13" s="9" t="inlineStr">
        <is>
          <t>people 2</t>
        </is>
      </c>
      <c r="H13" s="12" t="inlineStr">
        <is>
          <t>Open</t>
        </is>
      </c>
      <c r="I13" s="12" t="inlineStr"/>
      <c r="J13" s="9" t="n">
        <v>453</v>
      </c>
    </row>
    <row r="14">
      <c r="A14" s="8" t="inlineStr">
        <is>
          <t>GB-Q13</t>
        </is>
      </c>
      <c r="B14" s="8" t="inlineStr">
        <is>
          <t>User and product</t>
        </is>
      </c>
      <c r="C14" s="9" t="inlineStr"/>
      <c r="D14" s="9" t="inlineStr">
        <is>
          <t>Employee codes with _</t>
        </is>
      </c>
      <c r="E14" s="9" t="inlineStr">
        <is>
          <t>change the Workforce pattern for everyone, or only for GB tenants?</t>
        </is>
      </c>
      <c r="F14" s="9" t="inlineStr">
        <is>
          <t>GB refuses _ in Employee."No." (C7).</t>
        </is>
      </c>
      <c r="G14" s="9" t="inlineStr">
        <is>
          <t>people 3</t>
        </is>
      </c>
      <c r="H14" s="12" t="inlineStr">
        <is>
          <t>Open</t>
        </is>
      </c>
      <c r="I14" s="12" t="inlineStr"/>
      <c r="J14" s="9" t="n">
        <v>454</v>
      </c>
    </row>
    <row r="15">
      <c r="A15" s="8" t="inlineStr">
        <is>
          <t>GB-Q14</t>
        </is>
      </c>
      <c r="B15" s="8" t="inlineStr">
        <is>
          <t>User and product</t>
        </is>
      </c>
      <c r="C15" s="9" t="inlineStr"/>
      <c r="D15" s="9" t="inlineStr">
        <is>
          <t>Text longer than Business Central holds</t>
        </is>
      </c>
      <c r="E15" s="9" t="inlineStr">
        <is>
          <t>refuse (location address over 100, department name over 50, project name over 120, qualification over 100), or add fields?</t>
        </is>
      </c>
      <c r="F15" s="9" t="inlineStr">
        <is>
          <t>C6.</t>
        </is>
      </c>
      <c r="G15" s="9" t="inlineStr">
        <is>
          <t>people 4, onboarding</t>
        </is>
      </c>
      <c r="H15" s="12" t="inlineStr">
        <is>
          <t>Open</t>
        </is>
      </c>
      <c r="I15" s="12" t="inlineStr"/>
      <c r="J15" s="9" t="n">
        <v>455</v>
      </c>
    </row>
    <row r="16">
      <c r="A16" s="8" t="inlineStr">
        <is>
          <t>GB-Q15</t>
        </is>
      </c>
      <c r="B16" s="8" t="inlineStr">
        <is>
          <t>User and product</t>
        </is>
      </c>
      <c r="C16" s="9" t="inlineStr"/>
      <c r="D16" s="9" t="inlineStr">
        <is>
          <t>Codes instead of display names</t>
        </is>
      </c>
      <c r="E16" s="9" t="inlineStr">
        <is>
          <t>for project, task, site and department in TimeEntry.fields?</t>
        </is>
      </c>
      <c r="F16" s="9" t="inlineStr">
        <is>
          <t>Names are not unique; a renamed project breaks old rows (C8).</t>
        </is>
      </c>
      <c r="G16" s="9" t="inlineStr">
        <is>
          <t>timesheet Q3</t>
        </is>
      </c>
      <c r="H16" s="12" t="inlineStr">
        <is>
          <t>Open</t>
        </is>
      </c>
      <c r="I16" s="12" t="inlineStr"/>
      <c r="J16" s="9" t="n">
        <v>456</v>
      </c>
    </row>
    <row r="17">
      <c r="A17" s="8" t="inlineStr">
        <is>
          <t>GB-Q16</t>
        </is>
      </c>
      <c r="B17" s="8" t="inlineStr">
        <is>
          <t>User and product</t>
        </is>
      </c>
      <c r="C17" s="9" t="inlineStr"/>
      <c r="D17" s="9" t="inlineStr">
        <is>
          <t>Pay code limits</t>
        </is>
      </c>
      <c r="E17" s="9" t="inlineStr">
        <is>
          <t>drop code and element to 20 characters (contract says 40)?</t>
        </is>
      </c>
      <c r="F17" s="9" t="inlineStr">
        <is>
          <t>Both are Code[20] in GB (C6).</t>
        </is>
      </c>
      <c r="G17" s="9" t="inlineStr">
        <is>
          <t>timesheet Q4</t>
        </is>
      </c>
      <c r="H17" s="12" t="inlineStr">
        <is>
          <t>Open</t>
        </is>
      </c>
      <c r="I17" s="12" t="inlineStr"/>
      <c r="J17" s="9" t="n">
        <v>457</v>
      </c>
    </row>
    <row r="18">
      <c r="A18" s="8" t="inlineStr">
        <is>
          <t>GB-Q17</t>
        </is>
      </c>
      <c r="B18" s="8" t="inlineStr">
        <is>
          <t>User and product</t>
        </is>
      </c>
      <c r="C18" s="9" t="inlineStr"/>
      <c r="D18" s="9" t="inlineStr">
        <is>
          <t>Bulk approval</t>
        </is>
      </c>
      <c r="E18" s="9" t="inlineStr">
        <is>
          <t>is one transaction for 500 days acceptable if it holds locks for about 2 s, or must it be chunked with partial success?</t>
        </is>
      </c>
      <c r="F18" s="9" t="inlineStr">
        <is>
          <t>The contract promises all or nothing (QUEUE_CHANGED); R6 prefers chunks (GB-D47).</t>
        </is>
      </c>
      <c r="G18" s="9" t="inlineStr">
        <is>
          <t>timesheet Q6</t>
        </is>
      </c>
      <c r="H18" s="12" t="inlineStr">
        <is>
          <t>Open</t>
        </is>
      </c>
      <c r="I18" s="12" t="inlineStr"/>
      <c r="J18" s="9" t="n">
        <v>458</v>
      </c>
    </row>
    <row r="19">
      <c r="A19" s="8" t="inlineStr">
        <is>
          <t>GB-Q18</t>
        </is>
      </c>
      <c r="B19" s="8" t="inlineStr">
        <is>
          <t>User and product</t>
        </is>
      </c>
      <c r="C19" s="9" t="inlineStr"/>
      <c r="D19" s="9" t="inlineStr">
        <is>
          <t>Encryption</t>
        </is>
      </c>
      <c r="E19" s="9" t="inlineStr">
        <is>
          <t>is EUII classification plus Business Central's at-rest encryption enough for the onboarding answers Blob, or must Node encrypt it?</t>
        </is>
      </c>
      <c r="F19" s="9" t="inlineStr">
        <is>
          <t>If Node encrypts, BC cannot apply the write-back from stored data, and the start command must carry the decrypted values.</t>
        </is>
      </c>
      <c r="G19" s="9" t="inlineStr">
        <is>
          <t>onboarding 6</t>
        </is>
      </c>
      <c r="H19" s="12" t="inlineStr">
        <is>
          <t>Open</t>
        </is>
      </c>
      <c r="I19" s="12" t="inlineStr"/>
      <c r="J19" s="9" t="n">
        <v>459</v>
      </c>
    </row>
    <row r="20">
      <c r="A20" s="8" t="inlineStr">
        <is>
          <t>GB-Q19</t>
        </is>
      </c>
      <c r="B20" s="8" t="inlineStr">
        <is>
          <t>User and product</t>
        </is>
      </c>
      <c r="C20" s="9" t="inlineStr"/>
      <c r="D20" s="9" t="inlineStr">
        <is>
          <t>Verified files in BC</t>
        </is>
      </c>
      <c r="E20" s="9" t="inlineStr">
        <is>
          <t>should HR open verified documents from the BC Employee card?</t>
        </is>
      </c>
      <c r="F20" s="9" t="inlineStr">
        <is>
          <t>That needs a link out to Blob Storage; Document Attachment stores the file inside BC.</t>
        </is>
      </c>
      <c r="G20" s="9" t="inlineStr">
        <is>
          <t>onboarding 7</t>
        </is>
      </c>
      <c r="H20" s="12" t="inlineStr">
        <is>
          <t>Open</t>
        </is>
      </c>
      <c r="I20" s="12" t="inlineStr"/>
      <c r="J20" s="9" t="n">
        <v>460</v>
      </c>
    </row>
    <row r="21">
      <c r="A21" s="8" t="inlineStr">
        <is>
          <t>GB-Q20</t>
        </is>
      </c>
      <c r="B21" s="8" t="inlineStr">
        <is>
          <t>User and product</t>
        </is>
      </c>
      <c r="C21" s="9" t="inlineStr"/>
      <c r="D21" s="9" t="inlineStr">
        <is>
          <t>Retention</t>
        </is>
      </c>
      <c r="E21" s="9" t="inlineStr">
        <is>
          <t>how long are files and case answers kept after start or withdrawal?</t>
        </is>
      </c>
      <c r="F21" s="9" t="inlineStr">
        <is>
          <t>Right-to-work copies and starter information have legal minimums.</t>
        </is>
      </c>
      <c r="G21" s="9" t="inlineStr">
        <is>
          <t>onboarding 8</t>
        </is>
      </c>
      <c r="H21" s="12" t="inlineStr">
        <is>
          <t>Open</t>
        </is>
      </c>
      <c r="I21" s="12" t="inlineStr"/>
      <c r="J21" s="9" t="n">
        <v>461</v>
      </c>
    </row>
    <row r="22">
      <c r="A22" s="8" t="inlineStr">
        <is>
          <t>GB-Q21</t>
        </is>
      </c>
      <c r="B22" s="8" t="inlineStr">
        <is>
          <t>User and product</t>
        </is>
      </c>
      <c r="C22" s="9" t="inlineStr"/>
      <c r="D22" s="9" t="inlineStr">
        <is>
          <t>Module licensing (B11, P8)</t>
        </is>
      </c>
      <c r="E22" s="9" t="inlineStr">
        <is>
          <t>reuse GB's SIR_GB License Detail / Subscription Detail or Base's SIR Product Setup licence key, or a new mechanism?</t>
        </is>
      </c>
      <c r="F22" s="9" t="inlineStr">
        <is>
          <t>Needed before the first paying customer.</t>
        </is>
      </c>
      <c r="G22" s="9" t="inlineStr">
        <is>
          <t>foundation</t>
        </is>
      </c>
      <c r="H22" s="12" t="inlineStr">
        <is>
          <t>Open</t>
        </is>
      </c>
      <c r="I22" s="12" t="inlineStr"/>
      <c r="J22" s="9" t="n">
        <v>462</v>
      </c>
    </row>
    <row r="23">
      <c r="A23" s="10" t="inlineStr">
        <is>
          <t>GB-Q22</t>
        </is>
      </c>
      <c r="B23" s="10" t="inlineStr">
        <is>
          <t>Payroll owner</t>
        </is>
      </c>
      <c r="C23" s="11" t="inlineStr">
        <is>
          <t>Top 6</t>
        </is>
      </c>
      <c r="D23" s="11" t="inlineStr">
        <is>
          <t>Will payroll accept the Base change for G</t>
        </is>
      </c>
      <c r="E23" s="11" t="inlineStr">
        <is>
          <t>(pay period fields 20–22 on both interface tables, and Create Time Sheets filtering on them)? Who builds it, and when?</t>
        </is>
      </c>
      <c r="F23" s="11" t="inlineStr">
        <is>
          <t>Without it, hours can land in the wrong period, or be lost for staff on another pay frequency.</t>
        </is>
      </c>
      <c r="G23" s="11" t="inlineStr">
        <is>
          <t>posting Q1</t>
        </is>
      </c>
      <c r="H23" s="12" t="inlineStr">
        <is>
          <t>Open</t>
        </is>
      </c>
      <c r="I23" s="12" t="inlineStr"/>
      <c r="J23" s="9" t="n">
        <v>468</v>
      </c>
    </row>
    <row r="24">
      <c r="A24" s="10" t="inlineStr">
        <is>
          <t>GB-Q23</t>
        </is>
      </c>
      <c r="B24" s="10" t="inlineStr">
        <is>
          <t>Payroll owner</t>
        </is>
      </c>
      <c r="C24" s="11" t="inlineStr">
        <is>
          <t>Top 6</t>
        </is>
      </c>
      <c r="D24" s="11" t="inlineStr">
        <is>
          <t>Rates (A)</t>
        </is>
      </c>
      <c r="E24" s="11" t="inlineStr">
        <is>
          <t>will payroll resolve the rate in the report, or keep Pull Employee Rates as a manual step (and require Use Fixed Rate in Timesheet on)?</t>
        </is>
      </c>
      <c r="F24" s="11" t="inlineStr">
        <is>
          <t>Decides whether the pay run needs a manual step, and whether one missing rate blocks every row.</t>
        </is>
      </c>
      <c r="G24" s="11" t="inlineStr">
        <is>
          <t>posting Q6</t>
        </is>
      </c>
      <c r="H24" s="12" t="inlineStr">
        <is>
          <t>Open</t>
        </is>
      </c>
      <c r="I24" s="12" t="inlineStr"/>
      <c r="J24" s="9" t="n">
        <v>469</v>
      </c>
    </row>
    <row r="25">
      <c r="A25" s="8" t="inlineStr">
        <is>
          <t>GB-Q24</t>
        </is>
      </c>
      <c r="B25" s="8" t="inlineStr">
        <is>
          <t>Payroll owner</t>
        </is>
      </c>
      <c r="C25" s="9" t="inlineStr"/>
      <c r="D25" s="9" t="inlineStr">
        <is>
          <t>Daily mode (B)</t>
        </is>
      </c>
      <c r="E25" s="9" t="inlineStr">
        <is>
          <t>fix it in Base, or commit to always running Period mode?</t>
        </is>
      </c>
      <c r="F25" s="9" t="inlineStr">
        <is>
          <t>Daily mode multiplies Workforce hours by the days in the period.</t>
        </is>
      </c>
      <c r="G25" s="9" t="inlineStr">
        <is>
          <t>posting Q5</t>
        </is>
      </c>
      <c r="H25" s="12" t="inlineStr">
        <is>
          <t>Open</t>
        </is>
      </c>
      <c r="I25" s="12" t="inlineStr"/>
      <c r="J25" s="9" t="n">
        <v>470</v>
      </c>
    </row>
    <row r="26">
      <c r="A26" s="8" t="inlineStr">
        <is>
          <t>GB-Q25</t>
        </is>
      </c>
      <c r="B26" s="8" t="inlineStr">
        <is>
          <t>Payroll owner</t>
        </is>
      </c>
      <c r="C26" s="9" t="inlineStr"/>
      <c r="D26" s="9" t="inlineStr">
        <is>
          <t>Which inbound path</t>
        </is>
      </c>
      <c r="E26" s="9" t="inlineStr">
        <is>
          <t>the interface (needs A, B and G fixed), or the GB timesheet-line path, where payroll prices hours at calculation and no rate step is needed?</t>
        </is>
      </c>
      <c r="F26" s="9" t="inlineStr">
        <is>
          <t>The other path is company-wide and changes how the customer's payroll works today.</t>
        </is>
      </c>
      <c r="G26" s="9" t="inlineStr">
        <is>
          <t>posting Q2</t>
        </is>
      </c>
      <c r="H26" s="12" t="inlineStr">
        <is>
          <t>Open</t>
        </is>
      </c>
      <c r="I26" s="12" t="inlineStr"/>
      <c r="J26" s="9" t="n">
        <v>471</v>
      </c>
    </row>
    <row r="27">
      <c r="A27" s="8" t="inlineStr">
        <is>
          <t>GB-Q26</t>
        </is>
      </c>
      <c r="B27" s="8" t="inlineStr">
        <is>
          <t>Payroll owner</t>
        </is>
      </c>
      <c r="C27" s="9" t="inlineStr"/>
      <c r="D27" s="9" t="inlineStr">
        <is>
          <t>Days approved after their period posted</t>
        </is>
      </c>
      <c r="E27" s="9" t="inlineStr">
        <is>
          <t>refuse (PERIOD_POSTED, payroll raises a Timesheet Adjustment) or post into the next open period?</t>
        </is>
      </c>
      <c r="F27" s="9" t="inlineStr">
        <is>
          <t>Affects RTI submissions and GB holiday pay reference hours.</t>
        </is>
      </c>
      <c r="G27" s="9" t="inlineStr">
        <is>
          <t>posting Q3</t>
        </is>
      </c>
      <c r="H27" s="12" t="inlineStr">
        <is>
          <t>Open</t>
        </is>
      </c>
      <c r="I27" s="12" t="inlineStr"/>
      <c r="J27" s="9" t="n">
        <v>472</v>
      </c>
    </row>
    <row r="28">
      <c r="A28" s="8" t="inlineStr">
        <is>
          <t>GB-Q27</t>
        </is>
      </c>
      <c r="B28" s="8" t="inlineStr">
        <is>
          <t>Payroll owner</t>
        </is>
      </c>
      <c r="C28" s="9" t="inlineStr"/>
      <c r="D28" s="9" t="inlineStr">
        <is>
          <t>Pay codes from React</t>
        </is>
      </c>
      <c r="E28" s="9" t="inlineStr">
        <is>
          <t>confirm Workforce may create, edit and remove SIR TIme Sheet Elements rows, and how Field Type (Normal/OT/Others) is set.</t>
        </is>
      </c>
      <c r="F28" s="9" t="inlineStr">
        <is>
          <t>03 said payroll maintains pay codes in BC; payroll counts normal hours by Field Type.</t>
        </is>
      </c>
      <c r="G28" s="9" t="inlineStr">
        <is>
          <t>people 6</t>
        </is>
      </c>
      <c r="H28" s="12" t="inlineStr">
        <is>
          <t>Open</t>
        </is>
      </c>
      <c r="I28" s="12" t="inlineStr"/>
      <c r="J28" s="9" t="n">
        <v>473</v>
      </c>
    </row>
    <row r="29">
      <c r="A29" s="8" t="inlineStr">
        <is>
          <t>GB-Q28</t>
        </is>
      </c>
      <c r="B29" s="8" t="inlineStr">
        <is>
          <t>Payroll owner</t>
        </is>
      </c>
      <c r="C29" s="9" t="inlineStr"/>
      <c r="D29" s="9" t="inlineStr">
        <is>
          <t>Approval in BC (J)</t>
        </is>
      </c>
      <c r="E29" s="9" t="inlineStr">
        <is>
          <t>is it intended that Create Time Sheets releases the timesheet without the payroll approval workflow? Should Workforce timesheets need payroll approval in BC as well as the Workforce payroll layer?</t>
        </is>
      </c>
      <c r="F29" s="9" t="inlineStr">
        <is>
          <t>Decides whether a second approval sits between Workforce and the pay run.</t>
        </is>
      </c>
      <c r="G29" s="9" t="inlineStr">
        <is>
          <t>posting Q4</t>
        </is>
      </c>
      <c r="H29" s="12" t="inlineStr">
        <is>
          <t>Open</t>
        </is>
      </c>
      <c r="I29" s="12" t="inlineStr"/>
      <c r="J29" s="9" t="n">
        <v>474</v>
      </c>
    </row>
    <row r="30">
      <c r="A30" s="8" t="inlineStr">
        <is>
          <t>GB-Q29</t>
        </is>
      </c>
      <c r="B30" s="8" t="inlineStr">
        <is>
          <t>Payroll owner</t>
        </is>
      </c>
      <c r="C30" s="9" t="inlineStr"/>
      <c r="D30" s="9" t="inlineStr">
        <is>
          <t>Financial year and pay frequency</t>
        </is>
      </c>
      <c r="E30" s="9" t="inlineStr">
        <is>
          <t>confirm Workforce never writes SIR Fiscal Year or SIR Payroll Setup."Default Pay Frequency" (GB-D26).</t>
        </is>
      </c>
      <c r="F30" s="9" t="inlineStr">
        <is>
          <t>Payroll owns them.</t>
        </is>
      </c>
      <c r="G30" s="9" t="inlineStr">
        <is>
          <t>foundation 4</t>
        </is>
      </c>
      <c r="H30" s="12" t="inlineStr">
        <is>
          <t>Open</t>
        </is>
      </c>
      <c r="I30" s="12" t="inlineStr"/>
      <c r="J30" s="9" t="n">
        <v>475</v>
      </c>
    </row>
    <row r="31">
      <c r="A31" s="8" t="inlineStr">
        <is>
          <t>GB-Q30</t>
        </is>
      </c>
      <c r="B31" s="8" t="inlineStr">
        <is>
          <t>Payroll owner</t>
        </is>
      </c>
      <c r="C31" s="9" t="inlineStr"/>
      <c r="D31" s="9" t="inlineStr">
        <is>
          <t>Interface auto-create</t>
        </is>
      </c>
      <c r="E31" s="9" t="inlineStr">
        <is>
          <t>may the work-site and employee-site auto-create in SIR Timesheet Interface (Tab70702614:137-185) be switched off by a setting?</t>
        </is>
      </c>
      <c r="F31" s="9" t="inlineStr">
        <is>
          <t>Workforce lives in Base now, so it can be gated (problem F).</t>
        </is>
      </c>
      <c r="G31" s="9" t="inlineStr">
        <is>
          <t>people 5</t>
        </is>
      </c>
      <c r="H31" s="12" t="inlineStr">
        <is>
          <t>Open</t>
        </is>
      </c>
      <c r="I31" s="12" t="inlineStr"/>
      <c r="J31" s="9" t="n">
        <v>476</v>
      </c>
    </row>
    <row r="32">
      <c r="A32" s="8" t="inlineStr">
        <is>
          <t>GB-Q31</t>
        </is>
      </c>
      <c r="B32" s="8" t="inlineStr">
        <is>
          <t>Payroll owner</t>
        </is>
      </c>
      <c r="C32" s="9" t="inlineStr"/>
      <c r="D32" s="9" t="inlineStr">
        <is>
          <t>How often will payroll run Create Time Sheets</t>
        </is>
      </c>
      <c r="E32" s="9" t="inlineStr">
        <is>
          <t>once per pay run, or daily?</t>
        </is>
      </c>
      <c r="F32" s="9" t="inlineStr">
        <is>
          <t>Sets when a line becomes "in a timesheet" and the late-line alert threshold.</t>
        </is>
      </c>
      <c r="G32" s="9" t="inlineStr">
        <is>
          <t>posting Q7</t>
        </is>
      </c>
      <c r="H32" s="12" t="inlineStr">
        <is>
          <t>Open</t>
        </is>
      </c>
      <c r="I32" s="12" t="inlineStr"/>
      <c r="J32" s="9" t="n">
        <v>477</v>
      </c>
    </row>
    <row r="33">
      <c r="A33" s="8" t="inlineStr">
        <is>
          <t>GB-Q32</t>
        </is>
      </c>
      <c r="B33" s="8" t="inlineStr">
        <is>
          <t>Payroll owner</t>
        </is>
      </c>
      <c r="C33" s="9" t="inlineStr"/>
      <c r="D33" s="9" t="inlineStr">
        <is>
          <t>Mixed pay frequencies and irregular runs</t>
        </is>
      </c>
      <c r="E33" s="9" t="inlineStr">
        <is>
          <t>which GB customers mix pay frequencies or run irregular payrolls, and should Irregular rows ever come from Workforce?</t>
        </is>
      </c>
      <c r="F33" s="9" t="inlineStr">
        <is>
          <t>G and GB-D67 depend on it; Workforce posts Irregular = false only today.</t>
        </is>
      </c>
      <c r="G33" s="9" t="inlineStr">
        <is>
          <t>posting Q8, Q9</t>
        </is>
      </c>
      <c r="H33" s="12" t="inlineStr">
        <is>
          <t>Open</t>
        </is>
      </c>
      <c r="I33" s="12" t="inlineStr"/>
      <c r="J33" s="9" t="n">
        <v>478</v>
      </c>
    </row>
    <row r="34">
      <c r="A34" s="8" t="inlineStr">
        <is>
          <t>GB-Q33</t>
        </is>
      </c>
      <c r="B34" s="8" t="inlineStr">
        <is>
          <t>Payroll owner</t>
        </is>
      </c>
      <c r="C34" s="9" t="inlineStr"/>
      <c r="D34" s="9" t="inlineStr">
        <is>
          <t>P45</t>
        </is>
      </c>
      <c r="E34" s="9" t="inlineStr">
        <is>
          <t>upload only, with payroll keying previous pay and tax in BC, and a p45 document type in the GB seed?</t>
        </is>
      </c>
      <c r="F34" s="9" t="inlineStr">
        <is>
          <t>Workforce never carries amounts.</t>
        </is>
      </c>
      <c r="G34" s="9" t="inlineStr">
        <is>
          <t>onboarding 5</t>
        </is>
      </c>
      <c r="H34" s="12" t="inlineStr">
        <is>
          <t>Open</t>
        </is>
      </c>
      <c r="I34" s="12" t="inlineStr"/>
      <c r="J34" s="9" t="n">
        <v>479</v>
      </c>
    </row>
    <row r="35">
      <c r="A35" s="8" t="inlineStr">
        <is>
          <t>GB-Q34</t>
        </is>
      </c>
      <c r="B35" s="8" t="inlineStr">
        <is>
          <t>Payroll owner</t>
        </is>
      </c>
      <c r="C35" s="9" t="inlineStr"/>
      <c r="D35" s="9" t="inlineStr">
        <is>
          <t>Student loan Plan Code</t>
        </is>
      </c>
      <c r="E35" s="9" t="inlineStr">
        <is>
          <t>the checklist fills it from SIR Payroll Element.Code (Tab70702735:510-531) but the field relates to SIR_GB Student Loan.Code (Tab70702685:18) and is assigned without validation. Which code is right?</t>
        </is>
      </c>
      <c r="F35" s="9" t="inlineStr">
        <is>
          <t>The GB subscriber reuses this logic at start.</t>
        </is>
      </c>
      <c r="G35" s="9" t="inlineStr">
        <is>
          <t>onboarding</t>
        </is>
      </c>
      <c r="H35" s="12" t="inlineStr">
        <is>
          <t>Open</t>
        </is>
      </c>
      <c r="I35" s="12" t="inlineStr"/>
      <c r="J35" s="9" t="n">
        <v>480</v>
      </c>
    </row>
    <row r="36">
      <c r="A36" s="8" t="inlineStr">
        <is>
          <t>GB-Q35</t>
        </is>
      </c>
      <c r="B36" s="8" t="inlineStr">
        <is>
          <t>Payroll owner</t>
        </is>
      </c>
      <c r="C36" s="9" t="inlineStr"/>
      <c r="D36" s="9" t="inlineStr">
        <is>
          <t>Leave (C)</t>
        </is>
      </c>
      <c r="E36" s="9" t="inlineStr">
        <is>
          <t>when the Leave module returns, does the fix (status and unit on Leave Register Detail) belong to payroll?</t>
        </is>
      </c>
      <c r="F36" s="9" t="inlineStr">
        <is>
          <t>Leave posting depends on it.</t>
        </is>
      </c>
      <c r="G36" s="9" t="inlineStr">
        <is>
          <t>posting Q10</t>
        </is>
      </c>
      <c r="H36" s="12" t="inlineStr">
        <is>
          <t>Open</t>
        </is>
      </c>
      <c r="I36" s="12" t="inlineStr"/>
      <c r="J36" s="9" t="n">
        <v>481</v>
      </c>
    </row>
    <row r="37">
      <c r="A37" s="8" t="inlineStr">
        <is>
          <t>GB-Q36</t>
        </is>
      </c>
      <c r="B37" s="8" t="inlineStr">
        <is>
          <t>Payroll owner</t>
        </is>
      </c>
      <c r="C37" s="9" t="inlineStr"/>
      <c r="D37" s="9" t="inlineStr">
        <is>
          <t>Business Central version floor</t>
        </is>
      </c>
      <c r="E37" s="9" t="inlineStr">
        <is>
          <t>both apps declare application 27.0.0.0 and runtime 15.0 but compile against base app 29 symbols. Which version is the floor, and should the symbols be pinned to it?</t>
        </is>
      </c>
      <c r="F37" s="9" t="inlineStr">
        <is>
          <t>Code can use objects or enum values a version 27 tenant lacks without a compiler error (§2.7).</t>
        </is>
      </c>
      <c r="G37" s="9" t="inlineStr">
        <is>
          <t>integrator</t>
        </is>
      </c>
      <c r="H37" s="12" t="inlineStr">
        <is>
          <t>Open</t>
        </is>
      </c>
      <c r="I37" s="12" t="inlineStr"/>
      <c r="J37" s="9" t="n">
        <v>482</v>
      </c>
    </row>
    <row r="38">
      <c r="A38" s="10" t="inlineStr">
        <is>
          <t>GB-Q37</t>
        </is>
      </c>
      <c r="B38" s="10" t="inlineStr">
        <is>
          <t>Microsoft / licensing partner</t>
        </is>
      </c>
      <c r="C38" s="11" t="inlineStr">
        <is>
          <t>Top 6</t>
        </is>
      </c>
      <c r="D38" s="11" t="inlineStr">
        <is>
          <t>Multiplexing</t>
        </is>
      </c>
      <c r="E38" s="11" t="inlineStr">
        <is>
          <t>do employees whose data reaches Business Central through the service-to-service connector (reading and writing their own timesheets, clocking and onboarding data) each need a Business Central licence? Get a written answer before phase 2.</t>
        </is>
      </c>
      <c r="F38" s="11" t="inlineStr">
        <is>
          <t>It can add about $8 per employee per month, and if calls must be made as each user the connector design changes (R19, 06 P3). QniConnect already reaches payslips this way.</t>
        </is>
      </c>
      <c r="G38" s="11" t="inlineStr">
        <is>
          <t>foundation, 06 P3</t>
        </is>
      </c>
      <c r="H38" s="12" t="inlineStr">
        <is>
          <t>Open</t>
        </is>
      </c>
      <c r="I38" s="12" t="inlineStr"/>
      <c r="J38" s="9" t="n">
        <v>488</v>
      </c>
    </row>
    <row r="39">
      <c r="A39" s="8" t="inlineStr">
        <is>
          <t>GB-Q38</t>
        </is>
      </c>
      <c r="B39" s="8" t="inlineStr">
        <is>
          <t>Microsoft / licensing partner</t>
        </is>
      </c>
      <c r="C39" s="9" t="inlineStr"/>
      <c r="D39" s="9" t="inlineStr">
        <is>
          <t>If licences are needed</t>
        </is>
      </c>
      <c r="E39" s="9" t="inlineStr">
        <is>
          <t>is Team Members enough for an employee who only reads and writes their own records, and does a manager approving others' timesheets need more?</t>
        </is>
      </c>
      <c r="F39" s="9" t="inlineStr">
        <is>
          <t>Sets the per-person cost and whether managers and employees differ.</t>
        </is>
      </c>
      <c r="G39" s="9" t="inlineStr">
        <is>
          <t>integrator</t>
        </is>
      </c>
      <c r="H39" s="12" t="inlineStr">
        <is>
          <t>Open</t>
        </is>
      </c>
      <c r="I39" s="12" t="inlineStr"/>
      <c r="J39" s="9" t="n">
        <v>489</v>
      </c>
    </row>
  </sheetData>
  <autoFilter ref="A1:J39"/>
  <dataValidations count="1">
    <dataValidation sqref="H2:H39" showDropDown="0" showInputMessage="0" showErrorMessage="0" allowBlank="0" type="list">
      <formula1>"Open,Answered,Deferred,Withdrawn"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2026-10-27T11:32:48Z</dcterms:created>
  <dcterms:modified xsi:type="dcterms:W3CDTF">2026-10-27T11:32:48Z</dcterms:modified>
</cp:coreProperties>
</file>